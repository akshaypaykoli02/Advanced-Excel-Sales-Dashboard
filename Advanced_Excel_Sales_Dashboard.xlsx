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50" activeTab="4"/>
  </bookViews>
  <sheets>
    <sheet name="Raw_Data" sheetId="1" r:id="rId1"/>
    <sheet name="Pivot_Region" sheetId="6" r:id="rId2"/>
    <sheet name="Pivot_Category" sheetId="7" r:id="rId3"/>
    <sheet name="Cleaned_Data" sheetId="3" r:id="rId4"/>
    <sheet name="Dashboard_Data" sheetId="4" r:id="rId5"/>
  </sheets>
  <definedNames>
    <definedName name="Slicer_Product_Category">#N/A</definedName>
    <definedName name="Slicer_Region">#N/A</definedName>
  </definedNames>
  <calcPr calcId="162913"/>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4" l="1"/>
  <c r="B3" i="4" l="1"/>
  <c r="B2" i="4"/>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B5" i="4" l="1"/>
</calcChain>
</file>

<file path=xl/sharedStrings.xml><?xml version="1.0" encoding="utf-8"?>
<sst xmlns="http://schemas.openxmlformats.org/spreadsheetml/2006/main" count="289" uniqueCount="161">
  <si>
    <t>Order Id</t>
  </si>
  <si>
    <t>Order Date</t>
  </si>
  <si>
    <t>Region</t>
  </si>
  <si>
    <t>Product Category</t>
  </si>
  <si>
    <t>Product Name</t>
  </si>
  <si>
    <t>Sales</t>
  </si>
  <si>
    <t>Cost</t>
  </si>
  <si>
    <t>Discount %</t>
  </si>
  <si>
    <t>Customer Name</t>
  </si>
  <si>
    <t>Segment</t>
  </si>
  <si>
    <t>Order ID,Order Date,Region,Product Category,Product Name,Sales,Cost,Discount %,Customer Name,Segment</t>
  </si>
  <si>
    <t>1001,01-01-2025,West,Furniture,Office Chair,12000,8000,10,Amit Shah,Corporate</t>
  </si>
  <si>
    <t>1002,02-01-2025,east,Electronics,Laptop,55000,48000,5,Riya Patil,Consumer</t>
  </si>
  <si>
    <t>1003,05-01-2025,North,Furniture,Desk,15000,12000,15,Karan Mehta,Corporate</t>
  </si>
  <si>
    <t>1004,07-01-2025,WEST,Technology,Printer,18000,15000,0,Sneha Joshi,Home Office</t>
  </si>
  <si>
    <t>1005,08-01-2025,south,Electronics,Mobile,30000,25000,8,Rahul Jain,Consumer</t>
  </si>
  <si>
    <t>1006,10-01-2025,East,Furniture,Sofa,40000,35000,20,Priya Desai,Corporate</t>
  </si>
  <si>
    <t>1007,12-01-2025,north,Electronics,Tablet,22000,20000,5,Ankit Verma,Home Office</t>
  </si>
  <si>
    <t>1008,15-01-2025,West,Furniture,Cabinet,17000,13000,12,Neha Kulkarni,Consumer</t>
  </si>
  <si>
    <t>1009,18-01-2025,SOUTH,Technology,Monitor,25000,21000,7,Mohit Singh,Corporate</t>
  </si>
  <si>
    <t>1010,20-01-2025,East,Electronics,Headphones,8000,6000,3,Pooja Sharma,Consumer</t>
  </si>
  <si>
    <t>1011,25-01-2025,west,Furniture,Table,22000,17000,5,Arjun Rao,Corporate</t>
  </si>
  <si>
    <t>1012,28-01-2025,NORTH,Electronics,Camera,45000,39000,10,Kavita Nair,Consumer</t>
  </si>
  <si>
    <t>1013,02-02-2025,South,Technology,Router,12000,9000,4,Vikram Singh,Corporate</t>
  </si>
  <si>
    <t>1014,04-02-2025,east,Furniture,Bed,60000,52000,18,Aisha Khan,Home Office</t>
  </si>
  <si>
    <t>1015,07-02-2025,WEST,Electronics,Smart Watch,15000,12000,6,Manish Gupta,Consumer</t>
  </si>
  <si>
    <t>1016,10-02-2025,North,Furniture,Bookshelf,21000,18000,9,Rohan Kulkarni,Corporate</t>
  </si>
  <si>
    <t>1017,12-02-2025,south,Technology,Keyboard,5000,3500,2,Isha Mehta,Consumer</t>
  </si>
  <si>
    <t>1018,15-02-2025,East,Electronics,TV,70000,60000,15,Deepak Yadav,Corporate</t>
  </si>
  <si>
    <t>1019,18-02-2025,WEST,Furniture,Dining Set,85000,75000,12,Sagar Patil,Corporate</t>
  </si>
  <si>
    <t>1020,20-02-2025,north,Electronics,Speaker,12000,9500,5,Nidhi Sharma,Home Office</t>
  </si>
  <si>
    <t>1021,01-03-2025,South,Technology,Mouse,3000,2000,0,Tanvi Deshmukh,Consumer</t>
  </si>
  <si>
    <t>1022,03-03-2025,EAST,Furniture,Wardrobe,95000,85000,20,Raj Malhotra,Corporate</t>
  </si>
  <si>
    <t>1023,05-03-2025,west,Electronics,Laptop,65000,58000,8,Sameer Khan,Consumer</t>
  </si>
  <si>
    <t>1024,08-03-2025,north,Furniture,Chair,9000,7000,5,Anjali Verma,Home Office</t>
  </si>
  <si>
    <t>1025,10-03-2025,SOUTH,Technology,Printer,22000,17000,7,Vivek Sharma,Corporate</t>
  </si>
  <si>
    <t>1026,12-03-2025,East,Electronics,Mobile,28000,24000,6,Meera Joshi,Consumer</t>
  </si>
  <si>
    <t>1027,15-03-2025,West,Furniture,Sofa,50000,43000,10,Kunal Shah,Corporate</t>
  </si>
  <si>
    <t>1028,18-03-2025,north,Technology,Monitor,27000,22000,9,Priyanka Jain,Consumer</t>
  </si>
  <si>
    <t>1029,20-03-2025,south,Electronics,Tablet,18000,15000,4,Aditya Roy,Home Office</t>
  </si>
  <si>
    <t>1030,25-03-2025,EAST,Furniture,Desk,16000,13000,5,Sakshi Patil,Corporate</t>
  </si>
  <si>
    <t>1031,28-03-2025,west,Electronics,Camera,48000,42000,11,Harsh Mehta,Consumer</t>
  </si>
  <si>
    <t>1032,01-04-2025,NORTH,Furniture,Cabinet,20000,16000,6,Pallavi Nair,Corporate</t>
  </si>
  <si>
    <t>1033,03-04-2025,south,Technology,Router,15000,12000,3,Rohit Jain,Consumer</t>
  </si>
  <si>
    <t>1034,06-04-2025,East,Electronics,TV,75000,65000,14,Snehal Patil,Corporate</t>
  </si>
  <si>
    <t>1035,10-04-2025,WEST,Furniture,Bed,82000,72000,17,Yash Verma,Home Office</t>
  </si>
  <si>
    <t>1036,12-04-2025,north,Electronics,Smart Watch,14000,11000,5,Priti Kulkarni,Consumer</t>
  </si>
  <si>
    <t>1037,15-04-2025,South,Technology,Keyboard,6000,4200,2,Amit Joshi,Corporate</t>
  </si>
  <si>
    <t>1038,18-04-2025,EAST,Furniture,Dining Set,90000,78000,15,Rakesh Shah,Corporate</t>
  </si>
  <si>
    <t>1039,20-04-2025,west,Electronics,Speaker,15000,12000,6,Heena Desai,Consumer</t>
  </si>
  <si>
    <t>1040,25-04-2025,NORTH,Furniture,Table,25000,20000,8,Tushar Mehta,Home Office</t>
  </si>
  <si>
    <t>West</t>
  </si>
  <si>
    <t>Furniture</t>
  </si>
  <si>
    <t>Office Chair</t>
  </si>
  <si>
    <t>Amit Shah</t>
  </si>
  <si>
    <t>Corporate</t>
  </si>
  <si>
    <t>east</t>
  </si>
  <si>
    <t>Electronics</t>
  </si>
  <si>
    <t>Laptop</t>
  </si>
  <si>
    <t>Riya Patil</t>
  </si>
  <si>
    <t>Consumer</t>
  </si>
  <si>
    <t>North</t>
  </si>
  <si>
    <t>Desk</t>
  </si>
  <si>
    <t>Karan Mehta</t>
  </si>
  <si>
    <t>WEST</t>
  </si>
  <si>
    <t>Technology</t>
  </si>
  <si>
    <t>Printer</t>
  </si>
  <si>
    <t>Sneha Joshi</t>
  </si>
  <si>
    <t>Home Office</t>
  </si>
  <si>
    <t>south</t>
  </si>
  <si>
    <t>Mobile</t>
  </si>
  <si>
    <t>Rahul Jain</t>
  </si>
  <si>
    <t>East</t>
  </si>
  <si>
    <t>Sofa</t>
  </si>
  <si>
    <t>Priya Desai</t>
  </si>
  <si>
    <t>north</t>
  </si>
  <si>
    <t>Tablet</t>
  </si>
  <si>
    <t>Ankit Verma</t>
  </si>
  <si>
    <t>15-01-2025</t>
  </si>
  <si>
    <t>Cabinet</t>
  </si>
  <si>
    <t>Neha Kulkarni</t>
  </si>
  <si>
    <t>18-01-2025</t>
  </si>
  <si>
    <t>SOUTH</t>
  </si>
  <si>
    <t>Monitor</t>
  </si>
  <si>
    <t>Mohit Singh</t>
  </si>
  <si>
    <t>20-01-2025</t>
  </si>
  <si>
    <t>Headphones</t>
  </si>
  <si>
    <t>Pooja Sharma</t>
  </si>
  <si>
    <t>25-01-2025</t>
  </si>
  <si>
    <t>west</t>
  </si>
  <si>
    <t>Table</t>
  </si>
  <si>
    <t>Arjun Rao</t>
  </si>
  <si>
    <t>28-01-2025</t>
  </si>
  <si>
    <t>NORTH</t>
  </si>
  <si>
    <t>Camera</t>
  </si>
  <si>
    <t>Kavita Nair</t>
  </si>
  <si>
    <t>South</t>
  </si>
  <si>
    <t>Router</t>
  </si>
  <si>
    <t>Vikram Singh</t>
  </si>
  <si>
    <t>Bed</t>
  </si>
  <si>
    <t>Aisha Khan</t>
  </si>
  <si>
    <t>Smart Watch</t>
  </si>
  <si>
    <t>Manish Gupta</t>
  </si>
  <si>
    <t>Bookshelf</t>
  </si>
  <si>
    <t>Rohan Kulkarni</t>
  </si>
  <si>
    <t>Keyboard</t>
  </si>
  <si>
    <t>Isha Mehta</t>
  </si>
  <si>
    <t>15-02-2025</t>
  </si>
  <si>
    <t>TV</t>
  </si>
  <si>
    <t>Deepak Yadav</t>
  </si>
  <si>
    <t>18-02-2025</t>
  </si>
  <si>
    <t>Dining Set</t>
  </si>
  <si>
    <t>Sagar Patil</t>
  </si>
  <si>
    <t>20-02-2025</t>
  </si>
  <si>
    <t>Speaker</t>
  </si>
  <si>
    <t>Nidhi Sharma</t>
  </si>
  <si>
    <t>Mouse</t>
  </si>
  <si>
    <t>Tanvi Deshmukh</t>
  </si>
  <si>
    <t>EAST</t>
  </si>
  <si>
    <t>Wardrobe</t>
  </si>
  <si>
    <t>Raj Malhotra</t>
  </si>
  <si>
    <t>Sameer Khan</t>
  </si>
  <si>
    <t>Chair</t>
  </si>
  <si>
    <t>Anjali Verma</t>
  </si>
  <si>
    <t>Vivek Sharma</t>
  </si>
  <si>
    <t>Meera Joshi</t>
  </si>
  <si>
    <t>15-03-2025</t>
  </si>
  <si>
    <t>Kunal Shah</t>
  </si>
  <si>
    <t>18-03-2025</t>
  </si>
  <si>
    <t>Priyanka Jain</t>
  </si>
  <si>
    <t>20-03-2025</t>
  </si>
  <si>
    <t>Aditya Roy</t>
  </si>
  <si>
    <t>25-03-2025</t>
  </si>
  <si>
    <t>Sakshi Patil</t>
  </si>
  <si>
    <t>28-03-2025</t>
  </si>
  <si>
    <t>Harsh Mehta</t>
  </si>
  <si>
    <t>Pallavi Nair</t>
  </si>
  <si>
    <t>Rohit Jain</t>
  </si>
  <si>
    <t>Snehal Patil</t>
  </si>
  <si>
    <t>Yash Verma</t>
  </si>
  <si>
    <t>Priti Kulkarni</t>
  </si>
  <si>
    <t>15-04-2025</t>
  </si>
  <si>
    <t>Amit Joshi</t>
  </si>
  <si>
    <t>18-04-2025</t>
  </si>
  <si>
    <t>Rakesh Shah</t>
  </si>
  <si>
    <t>20-04-2025</t>
  </si>
  <si>
    <t>Heena Desai</t>
  </si>
  <si>
    <t>25-04-2025</t>
  </si>
  <si>
    <t>Tushar Mehta</t>
  </si>
  <si>
    <t>Total Sales</t>
  </si>
  <si>
    <t>Net sale</t>
  </si>
  <si>
    <t>Profit</t>
  </si>
  <si>
    <t>Profit_Margin_%</t>
  </si>
  <si>
    <t>Total Profit</t>
  </si>
  <si>
    <t>Total Orders</t>
  </si>
  <si>
    <t>Profit Margin</t>
  </si>
  <si>
    <t>Sum of Net sale</t>
  </si>
  <si>
    <t>Row Labels</t>
  </si>
  <si>
    <t>Grand Total</t>
  </si>
  <si>
    <t>Sum of Sales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</si>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</sst>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1"/>
      <color theme="1"/>
      <name val="Calibri"/>
      <family val="2"/>
      <scheme val="minor"/>
    </font>
    <font>
      <b/>
      <sz val="11"/>
      <color theme="1"/>
      <name val="Calibri"/>
      <scheme val="minor"/>
    </font>
    <font>
      <sz val="12"/>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0" fillId="0" borderId="1" xfId="0" applyBorder="1" applyAlignment="1">
      <alignment horizontal="center"/>
    </xf>
    <xf numFmtId="14" fontId="0" fillId="0" borderId="0" xfId="0" applyNumberFormat="1"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4" fontId="0" fillId="0" borderId="3" xfId="0" applyNumberFormat="1" applyBorder="1" applyAlignment="1">
      <alignment horizontal="center"/>
    </xf>
    <xf numFmtId="0" fontId="1" fillId="0" borderId="1" xfId="0" applyFont="1" applyBorder="1" applyAlignment="1">
      <alignment horizontal="center"/>
    </xf>
    <xf numFmtId="0" fontId="1" fillId="0" borderId="0" xfId="0" applyFont="1" applyBorder="1" applyAlignment="1">
      <alignment horizontal="center"/>
    </xf>
    <xf numFmtId="0" fontId="1" fillId="0" borderId="2"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3" fillId="0" borderId="0" xfId="0" applyFont="1" applyAlignment="1">
      <alignment horizontal="center"/>
    </xf>
    <xf numFmtId="0" fontId="3" fillId="0" borderId="0" xfId="0" applyFont="1" applyAlignment="1">
      <alignment horizontal="center" vertical="top"/>
    </xf>
    <xf numFmtId="9" fontId="3" fillId="0" borderId="0" xfId="1" applyFont="1" applyAlignment="1">
      <alignment horizontal="center"/>
    </xf>
    <xf numFmtId="9" fontId="0" fillId="0" borderId="4" xfId="1" applyFont="1" applyBorder="1" applyAlignment="1">
      <alignment horizontal="center"/>
    </xf>
    <xf numFmtId="9" fontId="0" fillId="0" borderId="3" xfId="1" applyFont="1" applyBorder="1" applyAlignment="1">
      <alignment horizontal="center"/>
    </xf>
    <xf numFmtId="9" fontId="0" fillId="0" borderId="5" xfId="1" applyFont="1" applyBorder="1" applyAlignment="1">
      <alignment horizontal="center"/>
    </xf>
    <xf numFmtId="9" fontId="0" fillId="0" borderId="0" xfId="1" applyFont="1"/>
    <xf numFmtId="0" fontId="4" fillId="0" borderId="3" xfId="0" applyFont="1" applyBorder="1" applyAlignment="1">
      <alignment horizontal="center" vertical="top"/>
    </xf>
    <xf numFmtId="0" fontId="0" fillId="0" borderId="3" xfId="0" applyBorder="1" applyAlignment="1">
      <alignment horizontal="center" vertical="top"/>
    </xf>
    <xf numFmtId="0" fontId="0" fillId="0" borderId="3" xfId="0" applyBorder="1"/>
    <xf numFmtId="0" fontId="0" fillId="0" borderId="3" xfId="0" applyBorder="1" applyAlignment="1">
      <alignment horizontal="center" vertical="center"/>
    </xf>
    <xf numFmtId="0" fontId="0" fillId="0" borderId="3" xfId="0" pivotButton="1" applyBorder="1"/>
    <xf numFmtId="0" fontId="0" fillId="0" borderId="3" xfId="0" applyBorder="1" applyAlignment="1">
      <alignment horizontal="left"/>
    </xf>
    <xf numFmtId="0" fontId="0" fillId="0" borderId="3" xfId="0" applyNumberFormat="1" applyBorder="1"/>
    <xf numFmtId="0" fontId="0" fillId="0" borderId="5" xfId="0" applyNumberFormat="1" applyBorder="1"/>
    <xf numFmtId="0" fontId="0" fillId="0" borderId="6" xfId="0" applyNumberFormat="1" applyBorder="1"/>
    <xf numFmtId="0" fontId="0" fillId="0" borderId="4" xfId="0" applyNumberFormat="1" applyBorder="1"/>
    <xf numFmtId="0" fontId="0" fillId="0" borderId="5" xfId="0" applyBorder="1" applyAlignment="1">
      <alignment horizontal="left"/>
    </xf>
    <xf numFmtId="0" fontId="0" fillId="0" borderId="6" xfId="0" applyBorder="1" applyAlignment="1">
      <alignment horizontal="left"/>
    </xf>
    <xf numFmtId="0" fontId="0" fillId="0" borderId="4" xfId="0" applyBorder="1" applyAlignment="1">
      <alignment horizontal="left"/>
    </xf>
    <xf numFmtId="0" fontId="5" fillId="2" borderId="0" xfId="0" applyFont="1" applyFill="1" applyAlignment="1"/>
    <xf numFmtId="0" fontId="0" fillId="2" borderId="0" xfId="0" applyFill="1"/>
  </cellXfs>
  <cellStyles count="2">
    <cellStyle name="Normal" xfId="0" builtinId="0"/>
    <cellStyle name="Percent" xfId="1" builtinId="5"/>
  </cellStyles>
  <dxfs count="32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medium">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[Business_Profitability_Analysis.xlsx]Pivot_Region!PivotTable2</c:name>
    <c:fmtId val="1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layout>
        <c:manualLayout>
          <c:xMode val="edge"/>
          <c:yMode val="edge"/>
          <c:x val="0.33972222222222226"/>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Pivot_Region!$A$4:$A$8</c:f>
              <c:strCache>
                <c:ptCount val="4"/>
                <c:pt idx="0">
                  <c:v>east</c:v>
                </c:pt>
                <c:pt idx="1">
                  <c:v>North</c:v>
                </c:pt>
                <c:pt idx="2">
                  <c:v>south</c:v>
                </c:pt>
                <c:pt idx="3">
                  <c:v>West</c:v>
                </c:pt>
              </c:strCache>
            </c:strRef>
          </c:cat>
          <c:val>
            <c:numRef>
              <c:f>Pivot_Region!$B$4:$B$8</c:f>
              <c:numCache>
                <c:formatCode>General</c:formatCode>
                <c:ptCount val="4"/>
                <c:pt idx="0">
                  <c:v>459230</c:v>
                </c:pt>
                <c:pt idx="1">
                  <c:v>192880</c:v>
                </c:pt>
                <c:pt idx="2">
                  <c:v>128440</c:v>
                </c:pt>
                <c:pt idx="3">
                  <c:v>383240</c:v>
                </c:pt>
              </c:numCache>
            </c:numRef>
          </c:val>
          <c:extLst>
            <c:ext xmlns:c16="http://schemas.microsoft.com/office/drawing/2014/chart" uri="{C3380CC4-5D6E-409C-BE32-E72D297353CC}">
              <c16:uniqueId val="{00000000-C626-4904-A2A7-703F08674288}"/>
            </c:ext>
          </c:extLst>
        </c:ser>
        <c:dLbls>
          <c:dLblPos val="outEnd"/>
          <c:showLegendKey val="0"/>
          <c:showVal val="1"/>
          <c:showCatName val="0"/>
          <c:showSerName val="0"/>
          <c:showPercent val="0"/>
          <c:showBubbleSize val="0"/>
        </c:dLbls>
        <c:gapWidth val="100"/>
        <c:overlap val="-27"/>
        <c:axId val="1618473439"/>
        <c:axId val="1618470111"/>
      </c:barChart>
      <c:catAx>
        <c:axId val="161847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70111"/>
        <c:crosses val="autoZero"/>
        <c:auto val="1"/>
        <c:lblAlgn val="ctr"/>
        <c:lblOffset val="100"/>
        <c:noMultiLvlLbl val="0"/>
      </c:catAx>
      <c:valAx>
        <c:axId val="161847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73439"/>
        <c:crosses val="autoZero"/>
        <c:crossBetween val="between"/>
      </c:valAx>
      <c:spPr>
        <a:noFill/>
        <a:ln>
          <a:noFill/>
        </a:ln>
        <a:effectLst/>
      </c:spPr>
    </c:plotArea>
    <c:plotVisOnly val="1"/>
    <c:dispBlanksAs val="gap"/>
    <c:showDLblsOverMax val="0"/>
  </c:chart>
  <c:spPr>
    <a:solidFill>
      <a:schemeClr val="bg1"/>
    </a:solidFill>
    <a:ln w="28575" cap="flat" cmpd="sng" algn="ctr">
      <a:solidFill>
        <a:schemeClr val="accent1">
          <a:alpha val="7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[Business_Profitability_Analysis.xlsx]Pivot_Category!PivotTable3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Electronics</c:v>
                </c:pt>
                <c:pt idx="1">
                  <c:v>Furniture</c:v>
                </c:pt>
                <c:pt idx="2">
                  <c:v>Technology</c:v>
                </c:pt>
              </c:strCache>
            </c:strRef>
          </c:cat>
          <c:val>
            <c:numRef>
              <c:f>Pivot_Category!$B$4:$B$7</c:f>
              <c:numCache>
                <c:formatCode>General</c:formatCode>
                <c:ptCount val="3"/>
                <c:pt idx="0">
                  <c:v>520000</c:v>
                </c:pt>
                <c:pt idx="1">
                  <c:v>659000</c:v>
                </c:pt>
                <c:pt idx="2">
                  <c:v>133000</c:v>
                </c:pt>
              </c:numCache>
            </c:numRef>
          </c:val>
          <c:extLst>
            <c:ext xmlns:c16="http://schemas.microsoft.com/office/drawing/2014/chart" uri="{C3380CC4-5D6E-409C-BE32-E72D297353CC}">
              <c16:uniqueId val="{00000001-6DC0-4823-BABA-5D42D5FDDE4B}"/>
            </c:ext>
          </c:extLst>
        </c:ser>
        <c:dLbls>
          <c:showLegendKey val="0"/>
          <c:showVal val="0"/>
          <c:showCatName val="0"/>
          <c:showSerName val="0"/>
          <c:showPercent val="0"/>
          <c:showBubbleSize val="0"/>
        </c:dLbls>
        <c:gapWidth val="219"/>
        <c:overlap val="-27"/>
        <c:axId val="1642848879"/>
        <c:axId val="1642849295"/>
      </c:barChart>
      <c:catAx>
        <c:axId val="164284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49295"/>
        <c:crosses val="autoZero"/>
        <c:auto val="1"/>
        <c:lblAlgn val="ctr"/>
        <c:lblOffset val="100"/>
        <c:noMultiLvlLbl val="0"/>
      </c:catAx>
      <c:valAx>
        <c:axId val="164284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48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[Business_Profitability_Analysis.xlsx]Pivot_Category!PivotTable3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Electronics</c:v>
                </c:pt>
                <c:pt idx="1">
                  <c:v>Furniture</c:v>
                </c:pt>
                <c:pt idx="2">
                  <c:v>Technology</c:v>
                </c:pt>
              </c:strCache>
            </c:strRef>
          </c:cat>
          <c:val>
            <c:numRef>
              <c:f>Pivot_Category!$B$4:$B$7</c:f>
              <c:numCache>
                <c:formatCode>General</c:formatCode>
                <c:ptCount val="3"/>
                <c:pt idx="0">
                  <c:v>520000</c:v>
                </c:pt>
                <c:pt idx="1">
                  <c:v>659000</c:v>
                </c:pt>
                <c:pt idx="2">
                  <c:v>133000</c:v>
                </c:pt>
              </c:numCache>
            </c:numRef>
          </c:val>
          <c:extLst>
            <c:ext xmlns:c16="http://schemas.microsoft.com/office/drawing/2014/chart" uri="{C3380CC4-5D6E-409C-BE32-E72D297353CC}">
              <c16:uniqueId val="{00000000-2391-484C-A705-9E0C944E97F8}"/>
            </c:ext>
          </c:extLst>
        </c:ser>
        <c:dLbls>
          <c:showLegendKey val="0"/>
          <c:showVal val="0"/>
          <c:showCatName val="0"/>
          <c:showSerName val="0"/>
          <c:showPercent val="0"/>
          <c:showBubbleSize val="0"/>
        </c:dLbls>
        <c:gapWidth val="219"/>
        <c:overlap val="-27"/>
        <c:axId val="1642848879"/>
        <c:axId val="1642849295"/>
      </c:barChart>
      <c:catAx>
        <c:axId val="164284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49295"/>
        <c:crosses val="autoZero"/>
        <c:auto val="1"/>
        <c:lblAlgn val="ctr"/>
        <c:lblOffset val="100"/>
        <c:noMultiLvlLbl val="0"/>
      </c:catAx>
      <c:valAx>
        <c:axId val="164284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48879"/>
        <c:crosses val="autoZero"/>
        <c:crossBetween val="between"/>
      </c:valAx>
      <c:spPr>
        <a:noFill/>
        <a:ln>
          <a:noFill/>
        </a:ln>
        <a:effectLst/>
      </c:spPr>
    </c:plotArea>
    <c:plotVisOnly val="1"/>
    <c:dispBlanksAs val="gap"/>
    <c:showDLblsOverMax val="0"/>
  </c:chart>
  <c:spPr>
    <a:solidFill>
      <a:schemeClr val="bg1">
        <a:lumMod val="95000"/>
      </a:schemeClr>
    </a:solidFill>
    <a:ln w="2857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[Business_Profitability_Analysis.xlsx]Pivot_Region!PivotTable2</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layout>
        <c:manualLayout>
          <c:xMode val="edge"/>
          <c:yMode val="edge"/>
          <c:x val="0.33972222222222226"/>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dLbls>
            <c:delete val="1"/>
          </c:dLbls>
          <c:cat>
            <c:strRef>
              <c:f>Pivot_Region!$A$4:$A$8</c:f>
              <c:strCache>
                <c:ptCount val="4"/>
                <c:pt idx="0">
                  <c:v>east</c:v>
                </c:pt>
                <c:pt idx="1">
                  <c:v>North</c:v>
                </c:pt>
                <c:pt idx="2">
                  <c:v>south</c:v>
                </c:pt>
                <c:pt idx="3">
                  <c:v>West</c:v>
                </c:pt>
              </c:strCache>
            </c:strRef>
          </c:cat>
          <c:val>
            <c:numRef>
              <c:f>Pivot_Region!$B$4:$B$8</c:f>
              <c:numCache>
                <c:formatCode>General</c:formatCode>
                <c:ptCount val="4"/>
                <c:pt idx="0">
                  <c:v>459230</c:v>
                </c:pt>
                <c:pt idx="1">
                  <c:v>192880</c:v>
                </c:pt>
                <c:pt idx="2">
                  <c:v>128440</c:v>
                </c:pt>
                <c:pt idx="3">
                  <c:v>383240</c:v>
                </c:pt>
              </c:numCache>
            </c:numRef>
          </c:val>
          <c:extLst>
            <c:ext xmlns:c16="http://schemas.microsoft.com/office/drawing/2014/chart" uri="{C3380CC4-5D6E-409C-BE32-E72D297353CC}">
              <c16:uniqueId val="{00000000-0331-44B5-9707-504927CFCA6E}"/>
            </c:ext>
          </c:extLst>
        </c:ser>
        <c:dLbls>
          <c:dLblPos val="outEnd"/>
          <c:showLegendKey val="0"/>
          <c:showVal val="1"/>
          <c:showCatName val="0"/>
          <c:showSerName val="0"/>
          <c:showPercent val="0"/>
          <c:showBubbleSize val="0"/>
        </c:dLbls>
        <c:gapWidth val="100"/>
        <c:overlap val="-27"/>
        <c:axId val="1618473439"/>
        <c:axId val="1618470111"/>
      </c:barChart>
      <c:catAx>
        <c:axId val="161847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70111"/>
        <c:crosses val="autoZero"/>
        <c:auto val="1"/>
        <c:lblAlgn val="ctr"/>
        <c:lblOffset val="100"/>
        <c:noMultiLvlLbl val="0"/>
      </c:catAx>
      <c:valAx>
        <c:axId val="161847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73439"/>
        <c:crosses val="autoZero"/>
        <c:crossBetween val="between"/>
      </c:valAx>
      <c:spPr>
        <a:noFill/>
        <a:ln>
          <a:noFill/>
        </a:ln>
        <a:effectLst/>
      </c:spPr>
    </c:plotArea>
    <c:plotVisOnly val="1"/>
    <c:dispBlanksAs val="gap"/>
    <c:showDLblsOverMax val="0"/>
  </c:chart>
  <c:spPr>
    <a:solidFill>
      <a:schemeClr val="bg1">
        <a:lumMod val="95000"/>
      </a:schemeClr>
    </a:solidFill>
    <a:ln w="28575" cap="flat" cmpd="sng" algn="ctr">
      <a:solidFill>
        <a:schemeClr val="accent1">
          <a:alpha val="7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3175</xdr:colOff>
      <xdr:row>1</xdr:row>
      <xdr:rowOff>174625</xdr:rowOff>
    </xdr:from>
    <xdr:to>
      <xdr:col>10</xdr:col>
      <xdr:colOff>307975</xdr:colOff>
      <xdr:row>16</xdr:row>
      <xdr:rowOff>155575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1</xdr:row>
      <xdr:rowOff>9525</xdr:rowOff>
    </xdr:from>
    <xdr:to>
      <xdr:col>11</xdr:col>
      <xdr:colOff>28575</xdr:colOff>
      <xdr:row>15</xdr:row>
      <xdr:rowOff>174625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349250</xdr:colOff>
      <xdr:row>16</xdr:row>
      <xdr:rowOff>12700</xdr:rowOff>
    </xdr:from>
    <xdr:to>
      <xdr:col>6</xdr:col>
      <xdr:colOff>358215</xdr:colOff>
      <xdr:row>20</xdr:row>
      <xdr:rowOff>181908</xdr:rowOff>
    </xdr:to>
    <mc:AlternateContent xmlns:mc="http://schemas.openxmlformats.org/markup-compatibility/2006">
      <mc:Choice xmlns:a14="http://schemas.microsoft.com/office/drawing/2010/main" Requires="a14">
        <xdr:graphicFrame macro="">
          <xdr:nvGraphicFramePr>
            <xdr:cNvPr id="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622550" y="3086100"/>
              <a:ext cx="1837765" cy="905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234950</xdr:colOff>
      <xdr:row>15</xdr:row>
      <xdr:rowOff>44450</xdr:rowOff>
    </xdr:from>
    <xdr:to>
      <xdr:col>14</xdr:col>
      <xdr:colOff>243915</xdr:colOff>
      <xdr:row>22</xdr:row>
      <xdr:rowOff>5602</xdr:rowOff>
    </xdr:to>
    <mc:AlternateContent xmlns:mc="http://schemas.openxmlformats.org/markup-compatibility/2006">
      <mc:Choice xmlns:a14="http://schemas.microsoft.com/office/drawing/2010/main" Requires="a14">
        <xdr:graphicFrame macro="">
          <xdr:nvGraphicFramePr>
            <xdr:cNvPr id="3"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7385050" y="2933700"/>
              <a:ext cx="1837765" cy="1250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361950</xdr:colOff>
      <xdr:row>1</xdr:row>
      <xdr:rowOff>57150</xdr:rowOff>
    </xdr:from>
    <xdr:to>
      <xdr:col>16</xdr:col>
      <xdr:colOff>127000</xdr:colOff>
      <xdr:row>14</xdr:row>
      <xdr:rowOff>139700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444500</xdr:colOff>
      <xdr:row>1</xdr:row>
      <xdr:rowOff>44450</xdr:rowOff>
    </xdr:from>
    <xdr:to>
      <xdr:col>8</xdr:col>
      <xdr:colOff>533400</xdr:colOff>
      <xdr:row>15</xdr:row>
      <xdr:rowOff>31750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83.999807638887" createdVersion="6" refreshedVersion="6" minRefreshableVersion="3" recordCount="40">
  <cacheSource type="worksheet">
    <worksheetSource name="Table36"/>
  </cacheSource>
  <cacheFields count="13">
    <cacheField name="Order Id" numFmtId="0">
      <sharedItems containsSemiMixedTypes="0" containsString="0" containsNumber="1" containsInteger="1" minValue="1001" maxValue="1040"/>
    </cacheField>
    <cacheField name="Order Date" numFmtId="0">
      <sharedItems containsDate="1" containsMixedTypes="1" minDate="2025-01-01T00:00:00" maxDate="2025-12-05T00:00:00"/>
    </cacheField>
    <cacheField name="Region" numFmtId="0">
      <sharedItems count="4">
        <s v="West"/>
        <s v="east"/>
        <s v="North"/>
        <s v="south"/>
      </sharedItems>
    </cacheField>
    <cacheField name="Product Category" numFmtId="0">
      <sharedItems count="3">
        <s v="Furniture"/>
        <s v="Electronics"/>
        <s v="Technology"/>
      </sharedItems>
    </cacheField>
    <cacheField name="Product Name" numFmtId="0">
      <sharedItems/>
    </cacheField>
    <cacheField name="Sales" numFmtId="0">
      <sharedItems containsSemiMixedTypes="0" containsString="0" containsNumber="1" containsInteger="1" minValue="3000" maxValue="95000"/>
    </cacheField>
    <cacheField name="Cost" numFmtId="0">
      <sharedItems containsSemiMixedTypes="0" containsString="0" containsNumber="1" containsInteger="1" minValue="2000" maxValue="85000"/>
    </cacheField>
    <cacheField name="Discount %" numFmtId="0">
      <sharedItems containsSemiMixedTypes="0" containsString="0" containsNumber="1" containsInteger="1" minValue="0" maxValue="20"/>
    </cacheField>
    <cacheField name="Customer Name" numFmtId="0">
      <sharedItems/>
    </cacheField>
    <cacheField name="Segment" numFmtId="0">
      <sharedItems/>
    </cacheField>
    <cacheField name="Net sale" numFmtId="0">
      <sharedItems containsSemiMixedTypes="0" containsString="0" containsNumber="1" containsInteger="1" minValue="3000" maxValue="76500"/>
    </cacheField>
    <cacheField name="Profit" numFmtId="0">
      <sharedItems containsSemiMixedTypes="0" containsString="0" containsNumber="1" containsInteger="1" minValue="1000" maxValue="12000"/>
    </cacheField>
    <cacheField name="Profit_Margin_%" numFmtId="9">
      <sharedItems containsSemiMixedTypes="0" containsString="0" containsNumber="1" minValue="9.569377990430622E-2" maxValue="0.3703703703703703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
  <r>
    <n v="1001"/>
    <d v="2025-01-01T00:00:00"/>
    <x v="0"/>
    <x v="0"/>
    <s v="Office Chair"/>
    <n v="12000"/>
    <n v="8000"/>
    <n v="10"/>
    <s v="Amit Shah"/>
    <s v="Corporate"/>
    <n v="10800"/>
    <n v="4000"/>
    <n v="0.37037037037037035"/>
  </r>
  <r>
    <n v="1002"/>
    <d v="2025-02-01T00:00:00"/>
    <x v="1"/>
    <x v="1"/>
    <s v="Laptop"/>
    <n v="55000"/>
    <n v="48000"/>
    <n v="5"/>
    <s v="Riya Patil"/>
    <s v="Consumer"/>
    <n v="52250"/>
    <n v="7000"/>
    <n v="0.13397129186602871"/>
  </r>
  <r>
    <n v="1003"/>
    <d v="2025-05-01T00:00:00"/>
    <x v="2"/>
    <x v="0"/>
    <s v="Desk"/>
    <n v="15000"/>
    <n v="12000"/>
    <n v="15"/>
    <s v="Karan Mehta"/>
    <s v="Corporate"/>
    <n v="12750"/>
    <n v="3000"/>
    <n v="0.23529411764705882"/>
  </r>
  <r>
    <n v="1004"/>
    <d v="2025-07-01T00:00:00"/>
    <x v="0"/>
    <x v="2"/>
    <s v="Printer"/>
    <n v="18000"/>
    <n v="15000"/>
    <n v="0"/>
    <s v="Sneha Joshi"/>
    <s v="Home Office"/>
    <n v="18000"/>
    <n v="3000"/>
    <n v="0.16666666666666666"/>
  </r>
  <r>
    <n v="1005"/>
    <d v="2025-08-01T00:00:00"/>
    <x v="3"/>
    <x v="1"/>
    <s v="Mobile"/>
    <n v="30000"/>
    <n v="25000"/>
    <n v="8"/>
    <s v="Rahul Jain"/>
    <s v="Consumer"/>
    <n v="27600"/>
    <n v="5000"/>
    <n v="0.18115942028985507"/>
  </r>
  <r>
    <n v="1006"/>
    <d v="2025-10-01T00:00:00"/>
    <x v="1"/>
    <x v="0"/>
    <s v="Sofa"/>
    <n v="40000"/>
    <n v="35000"/>
    <n v="20"/>
    <s v="Priya Desai"/>
    <s v="Corporate"/>
    <n v="32000"/>
    <n v="5000"/>
    <n v="0.15625"/>
  </r>
  <r>
    <n v="1007"/>
    <d v="2025-12-01T00:00:00"/>
    <x v="2"/>
    <x v="1"/>
    <s v="Tablet"/>
    <n v="22000"/>
    <n v="20000"/>
    <n v="5"/>
    <s v="Ankit Verma"/>
    <s v="Home Office"/>
    <n v="20900"/>
    <n v="2000"/>
    <n v="9.569377990430622E-2"/>
  </r>
  <r>
    <n v="1008"/>
    <s v="15-01-2025"/>
    <x v="0"/>
    <x v="0"/>
    <s v="Cabinet"/>
    <n v="17000"/>
    <n v="13000"/>
    <n v="12"/>
    <s v="Neha Kulkarni"/>
    <s v="Consumer"/>
    <n v="14960"/>
    <n v="4000"/>
    <n v="0.26737967914438504"/>
  </r>
  <r>
    <n v="1009"/>
    <s v="18-01-2025"/>
    <x v="3"/>
    <x v="2"/>
    <s v="Monitor"/>
    <n v="25000"/>
    <n v="21000"/>
    <n v="7"/>
    <s v="Mohit Singh"/>
    <s v="Corporate"/>
    <n v="23250"/>
    <n v="4000"/>
    <n v="0.17204301075268819"/>
  </r>
  <r>
    <n v="1010"/>
    <s v="20-01-2025"/>
    <x v="1"/>
    <x v="1"/>
    <s v="Headphones"/>
    <n v="8000"/>
    <n v="6000"/>
    <n v="3"/>
    <s v="Pooja Sharma"/>
    <s v="Consumer"/>
    <n v="7760"/>
    <n v="2000"/>
    <n v="0.25773195876288657"/>
  </r>
  <r>
    <n v="1011"/>
    <s v="25-01-2025"/>
    <x v="0"/>
    <x v="0"/>
    <s v="Table"/>
    <n v="22000"/>
    <n v="17000"/>
    <n v="5"/>
    <s v="Arjun Rao"/>
    <s v="Corporate"/>
    <n v="20900"/>
    <n v="5000"/>
    <n v="0.23923444976076555"/>
  </r>
  <r>
    <n v="1012"/>
    <s v="28-01-2025"/>
    <x v="2"/>
    <x v="1"/>
    <s v="Camera"/>
    <n v="45000"/>
    <n v="39000"/>
    <n v="10"/>
    <s v="Kavita Nair"/>
    <s v="Consumer"/>
    <n v="40500"/>
    <n v="6000"/>
    <n v="0.14814814814814814"/>
  </r>
  <r>
    <n v="1013"/>
    <d v="2025-02-02T00:00:00"/>
    <x v="3"/>
    <x v="2"/>
    <s v="Router"/>
    <n v="12000"/>
    <n v="9000"/>
    <n v="4"/>
    <s v="Vikram Singh"/>
    <s v="Corporate"/>
    <n v="11520"/>
    <n v="3000"/>
    <n v="0.26041666666666669"/>
  </r>
  <r>
    <n v="1014"/>
    <d v="2025-04-02T00:00:00"/>
    <x v="1"/>
    <x v="0"/>
    <s v="Bed"/>
    <n v="60000"/>
    <n v="52000"/>
    <n v="18"/>
    <s v="Aisha Khan"/>
    <s v="Home Office"/>
    <n v="49200"/>
    <n v="8000"/>
    <n v="0.16260162601626016"/>
  </r>
  <r>
    <n v="1015"/>
    <d v="2025-07-02T00:00:00"/>
    <x v="0"/>
    <x v="1"/>
    <s v="Smart Watch"/>
    <n v="15000"/>
    <n v="12000"/>
    <n v="6"/>
    <s v="Manish Gupta"/>
    <s v="Consumer"/>
    <n v="14100"/>
    <n v="3000"/>
    <n v="0.21276595744680851"/>
  </r>
  <r>
    <n v="1016"/>
    <d v="2025-10-02T00:00:00"/>
    <x v="2"/>
    <x v="0"/>
    <s v="Bookshelf"/>
    <n v="21000"/>
    <n v="18000"/>
    <n v="9"/>
    <s v="Rohan Kulkarni"/>
    <s v="Corporate"/>
    <n v="19110"/>
    <n v="3000"/>
    <n v="0.15698587127158556"/>
  </r>
  <r>
    <n v="1017"/>
    <d v="2025-12-02T00:00:00"/>
    <x v="3"/>
    <x v="2"/>
    <s v="Keyboard"/>
    <n v="5000"/>
    <n v="3500"/>
    <n v="2"/>
    <s v="Isha Mehta"/>
    <s v="Consumer"/>
    <n v="4900"/>
    <n v="1500"/>
    <n v="0.30612244897959184"/>
  </r>
  <r>
    <n v="1018"/>
    <s v="15-02-2025"/>
    <x v="1"/>
    <x v="1"/>
    <s v="TV"/>
    <n v="70000"/>
    <n v="60000"/>
    <n v="15"/>
    <s v="Deepak Yadav"/>
    <s v="Corporate"/>
    <n v="59500"/>
    <n v="10000"/>
    <n v="0.16806722689075632"/>
  </r>
  <r>
    <n v="1019"/>
    <s v="18-02-2025"/>
    <x v="0"/>
    <x v="0"/>
    <s v="Dining Set"/>
    <n v="85000"/>
    <n v="75000"/>
    <n v="12"/>
    <s v="Sagar Patil"/>
    <s v="Corporate"/>
    <n v="74800"/>
    <n v="10000"/>
    <n v="0.13368983957219252"/>
  </r>
  <r>
    <n v="1020"/>
    <s v="20-02-2025"/>
    <x v="2"/>
    <x v="1"/>
    <s v="Speaker"/>
    <n v="12000"/>
    <n v="9500"/>
    <n v="5"/>
    <s v="Nidhi Sharma"/>
    <s v="Home Office"/>
    <n v="11400"/>
    <n v="2500"/>
    <n v="0.21929824561403508"/>
  </r>
  <r>
    <n v="1021"/>
    <d v="2025-01-03T00:00:00"/>
    <x v="3"/>
    <x v="2"/>
    <s v="Mouse"/>
    <n v="3000"/>
    <n v="2000"/>
    <n v="0"/>
    <s v="Tanvi Deshmukh"/>
    <s v="Consumer"/>
    <n v="3000"/>
    <n v="1000"/>
    <n v="0.33333333333333331"/>
  </r>
  <r>
    <n v="1022"/>
    <d v="2025-03-03T00:00:00"/>
    <x v="1"/>
    <x v="0"/>
    <s v="Wardrobe"/>
    <n v="95000"/>
    <n v="85000"/>
    <n v="20"/>
    <s v="Raj Malhotra"/>
    <s v="Corporate"/>
    <n v="76000"/>
    <n v="10000"/>
    <n v="0.13157894736842105"/>
  </r>
  <r>
    <n v="1023"/>
    <d v="2025-05-03T00:00:00"/>
    <x v="0"/>
    <x v="1"/>
    <s v="Laptop"/>
    <n v="65000"/>
    <n v="58000"/>
    <n v="8"/>
    <s v="Sameer Khan"/>
    <s v="Consumer"/>
    <n v="59800"/>
    <n v="7000"/>
    <n v="0.11705685618729098"/>
  </r>
  <r>
    <n v="1024"/>
    <d v="2025-08-03T00:00:00"/>
    <x v="2"/>
    <x v="0"/>
    <s v="Chair"/>
    <n v="9000"/>
    <n v="7000"/>
    <n v="5"/>
    <s v="Anjali Verma"/>
    <s v="Home Office"/>
    <n v="8550"/>
    <n v="2000"/>
    <n v="0.23391812865497075"/>
  </r>
  <r>
    <n v="1025"/>
    <d v="2025-10-03T00:00:00"/>
    <x v="3"/>
    <x v="2"/>
    <s v="Printer"/>
    <n v="22000"/>
    <n v="17000"/>
    <n v="7"/>
    <s v="Vivek Sharma"/>
    <s v="Corporate"/>
    <n v="20460"/>
    <n v="5000"/>
    <n v="0.24437927663734116"/>
  </r>
  <r>
    <n v="1026"/>
    <d v="2025-12-03T00:00:00"/>
    <x v="1"/>
    <x v="1"/>
    <s v="Mobile"/>
    <n v="28000"/>
    <n v="24000"/>
    <n v="6"/>
    <s v="Meera Joshi"/>
    <s v="Consumer"/>
    <n v="26320"/>
    <n v="4000"/>
    <n v="0.1519756838905775"/>
  </r>
  <r>
    <n v="1027"/>
    <s v="15-03-2025"/>
    <x v="0"/>
    <x v="0"/>
    <s v="Sofa"/>
    <n v="50000"/>
    <n v="43000"/>
    <n v="10"/>
    <s v="Kunal Shah"/>
    <s v="Corporate"/>
    <n v="45000"/>
    <n v="7000"/>
    <n v="0.15555555555555556"/>
  </r>
  <r>
    <n v="1028"/>
    <s v="18-03-2025"/>
    <x v="2"/>
    <x v="2"/>
    <s v="Monitor"/>
    <n v="27000"/>
    <n v="22000"/>
    <n v="9"/>
    <s v="Priyanka Jain"/>
    <s v="Consumer"/>
    <n v="24570"/>
    <n v="5000"/>
    <n v="0.20350020350020351"/>
  </r>
  <r>
    <n v="1029"/>
    <s v="20-03-2025"/>
    <x v="3"/>
    <x v="1"/>
    <s v="Tablet"/>
    <n v="18000"/>
    <n v="15000"/>
    <n v="4"/>
    <s v="Aditya Roy"/>
    <s v="Home Office"/>
    <n v="17280"/>
    <n v="3000"/>
    <n v="0.1736111111111111"/>
  </r>
  <r>
    <n v="1030"/>
    <s v="25-03-2025"/>
    <x v="1"/>
    <x v="0"/>
    <s v="Desk"/>
    <n v="16000"/>
    <n v="13000"/>
    <n v="5"/>
    <s v="Sakshi Patil"/>
    <s v="Corporate"/>
    <n v="15200"/>
    <n v="3000"/>
    <n v="0.19736842105263158"/>
  </r>
  <r>
    <n v="1031"/>
    <s v="28-03-2025"/>
    <x v="0"/>
    <x v="1"/>
    <s v="Camera"/>
    <n v="48000"/>
    <n v="42000"/>
    <n v="11"/>
    <s v="Harsh Mehta"/>
    <s v="Consumer"/>
    <n v="42720"/>
    <n v="6000"/>
    <n v="0.1404494382022472"/>
  </r>
  <r>
    <n v="1032"/>
    <d v="2025-01-04T00:00:00"/>
    <x v="2"/>
    <x v="0"/>
    <s v="Cabinet"/>
    <n v="20000"/>
    <n v="16000"/>
    <n v="6"/>
    <s v="Pallavi Nair"/>
    <s v="Corporate"/>
    <n v="18800"/>
    <n v="4000"/>
    <n v="0.21276595744680851"/>
  </r>
  <r>
    <n v="1033"/>
    <d v="2025-03-04T00:00:00"/>
    <x v="3"/>
    <x v="2"/>
    <s v="Router"/>
    <n v="15000"/>
    <n v="12000"/>
    <n v="3"/>
    <s v="Rohit Jain"/>
    <s v="Consumer"/>
    <n v="14550"/>
    <n v="3000"/>
    <n v="0.20618556701030927"/>
  </r>
  <r>
    <n v="1034"/>
    <d v="2025-06-04T00:00:00"/>
    <x v="1"/>
    <x v="1"/>
    <s v="TV"/>
    <n v="75000"/>
    <n v="65000"/>
    <n v="14"/>
    <s v="Snehal Patil"/>
    <s v="Corporate"/>
    <n v="64500"/>
    <n v="10000"/>
    <n v="0.15503875968992248"/>
  </r>
  <r>
    <n v="1035"/>
    <d v="2025-10-04T00:00:00"/>
    <x v="0"/>
    <x v="0"/>
    <s v="Bed"/>
    <n v="82000"/>
    <n v="72000"/>
    <n v="17"/>
    <s v="Yash Verma"/>
    <s v="Home Office"/>
    <n v="68060"/>
    <n v="10000"/>
    <n v="0.14692918013517484"/>
  </r>
  <r>
    <n v="1036"/>
    <d v="2025-12-04T00:00:00"/>
    <x v="2"/>
    <x v="1"/>
    <s v="Smart Watch"/>
    <n v="14000"/>
    <n v="11000"/>
    <n v="5"/>
    <s v="Priti Kulkarni"/>
    <s v="Consumer"/>
    <n v="13300"/>
    <n v="3000"/>
    <n v="0.22556390977443608"/>
  </r>
  <r>
    <n v="1037"/>
    <s v="15-04-2025"/>
    <x v="3"/>
    <x v="2"/>
    <s v="Keyboard"/>
    <n v="6000"/>
    <n v="4200"/>
    <n v="2"/>
    <s v="Amit Joshi"/>
    <s v="Corporate"/>
    <n v="5880"/>
    <n v="1800"/>
    <n v="0.30612244897959184"/>
  </r>
  <r>
    <n v="1038"/>
    <s v="18-04-2025"/>
    <x v="1"/>
    <x v="0"/>
    <s v="Dining Set"/>
    <n v="90000"/>
    <n v="78000"/>
    <n v="15"/>
    <s v="Rakesh Shah"/>
    <s v="Corporate"/>
    <n v="76500"/>
    <n v="12000"/>
    <n v="0.15686274509803921"/>
  </r>
  <r>
    <n v="1039"/>
    <s v="20-04-2025"/>
    <x v="0"/>
    <x v="1"/>
    <s v="Speaker"/>
    <n v="15000"/>
    <n v="12000"/>
    <n v="6"/>
    <s v="Heena Desai"/>
    <s v="Consumer"/>
    <n v="14100"/>
    <n v="3000"/>
    <n v="0.21276595744680851"/>
  </r>
  <r>
    <n v="1040"/>
    <s v="25-04-2025"/>
    <x v="2"/>
    <x v="0"/>
    <s v="Table"/>
    <n v="25000"/>
    <n v="20000"/>
    <n v="8"/>
    <s v="Tushar Mehta"/>
    <s v="Home Office"/>
    <n v="23000"/>
    <n v="5000"/>
    <n v="0.217391304347826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8" firstHeaderRow="1" firstDataRow="1" firstDataCol="1"/>
  <pivotFields count="13">
    <pivotField showAll="0"/>
    <pivotField showAll="0"/>
    <pivotField axis="axisRow" showAll="0">
      <items count="5">
        <item x="1"/>
        <item x="2"/>
        <item x="3"/>
        <item x="0"/>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showAll="0"/>
    <pivotField numFmtId="9" showAll="0"/>
  </pivotFields>
  <rowFields count="1">
    <field x="2"/>
  </rowFields>
  <rowItems count="5">
    <i>
      <x/>
    </i>
    <i>
      <x v="1"/>
    </i>
    <i>
      <x v="2"/>
    </i>
    <i>
      <x v="3"/>
    </i>
    <i t="grand">
      <x/>
    </i>
  </rowItems>
  <colItems count="1">
    <i/>
  </colItems>
  <dataFields count="1">
    <dataField name="Sum of Net sale" fld="10" baseField="0" baseItem="0"/>
  </dataFields>
  <formats count="8">
    <format dxfId="179">
      <pivotArea field="2" type="button" dataOnly="0" labelOnly="1" outline="0" axis="axisRow" fieldPosition="0"/>
    </format>
    <format dxfId="180">
      <pivotArea type="all" dataOnly="0" outline="0" fieldPosition="0"/>
    </format>
    <format dxfId="181">
      <pivotArea outline="0" collapsedLevelsAreSubtotals="1" fieldPosition="0"/>
    </format>
    <format dxfId="182">
      <pivotArea field="2" type="button" dataOnly="0" labelOnly="1" outline="0" axis="axisRow" fieldPosition="0"/>
    </format>
    <format dxfId="183">
      <pivotArea dataOnly="0" labelOnly="1" outline="0" axis="axisValues" fieldPosition="0"/>
    </format>
    <format dxfId="184">
      <pivotArea dataOnly="0" labelOnly="1" fieldPosition="0">
        <references count="1">
          <reference field="2" count="0"/>
        </references>
      </pivotArea>
    </format>
    <format dxfId="185">
      <pivotArea dataOnly="0" labelOnly="1" grandRow="1" outline="0" fieldPosition="0"/>
    </format>
    <format dxfId="186">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13">
    <pivotField showAll="0"/>
    <pivotField showAll="0"/>
    <pivotField showAll="0">
      <items count="5">
        <item x="1"/>
        <item x="2"/>
        <item x="3"/>
        <item x="0"/>
        <item t="default"/>
      </items>
    </pivotField>
    <pivotField axis="axisRow" showAll="0">
      <items count="4">
        <item x="1"/>
        <item x="0"/>
        <item x="2"/>
        <item t="default"/>
      </items>
    </pivotField>
    <pivotField showAll="0"/>
    <pivotField dataField="1" showAll="0"/>
    <pivotField showAll="0"/>
    <pivotField showAll="0"/>
    <pivotField showAll="0"/>
    <pivotField showAll="0"/>
    <pivotField showAll="0"/>
    <pivotField showAll="0"/>
    <pivotField numFmtId="9" showAll="0"/>
  </pivotFields>
  <rowFields count="1">
    <field x="3"/>
  </rowFields>
  <rowItems count="4">
    <i>
      <x/>
    </i>
    <i>
      <x v="1"/>
    </i>
    <i>
      <x v="2"/>
    </i>
    <i t="grand">
      <x/>
    </i>
  </rowItems>
  <colItems count="1">
    <i/>
  </colItems>
  <dataFields count="1">
    <dataField name="Sum of Sales" fld="5" baseField="0" baseItem="0"/>
  </dataFields>
  <formats count="7">
    <format dxfId="105">
      <pivotArea type="all" dataOnly="0" outline="0" fieldPosition="0"/>
    </format>
    <format dxfId="106">
      <pivotArea outline="0" collapsedLevelsAreSubtotals="1" fieldPosition="0"/>
    </format>
    <format dxfId="107">
      <pivotArea field="3" type="button" dataOnly="0" labelOnly="1" outline="0" axis="axisRow" fieldPosition="0"/>
    </format>
    <format dxfId="108">
      <pivotArea dataOnly="0" labelOnly="1" outline="0" axis="axisValues" fieldPosition="0"/>
    </format>
    <format dxfId="109">
      <pivotArea dataOnly="0" labelOnly="1" fieldPosition="0">
        <references count="1">
          <reference field="3" count="0"/>
        </references>
      </pivotArea>
    </format>
    <format dxfId="110">
      <pivotArea dataOnly="0" labelOnly="1" grandRow="1" outline="0" fieldPosition="0"/>
    </format>
    <format dxfId="11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2"/>
    <pivotTable tabId="7" name="PivotTable3"/>
  </pivotTables>
  <data>
    <tabular pivotCacheId="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7" name="PivotTable3"/>
    <pivotTable tabId="6" name="PivotTable2"/>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rowHeight="241300"/>
  <slicer name="Product Category 1" cache="Slicer_Product_Category" caption="Product Category" rowHeight="241300"/>
</slicers>
</file>

<file path=xl/tables/table1.xml><?xml version="1.0" encoding="utf-8"?>
<table xmlns="http://schemas.openxmlformats.org/spreadsheetml/2006/main" id="5" name="Table36" displayName="Table36" ref="A1:M41" totalsRowShown="0" headerRowDxfId="325" dataDxfId="324" tableBorderDxfId="323">
  <autoFilter ref="A1:M41"/>
  <tableColumns count="13">
    <tableColumn id="1" name="Order Id" dataDxfId="322"/>
    <tableColumn id="2" name="Order Date" dataDxfId="321"/>
    <tableColumn id="3" name="Region" dataDxfId="320"/>
    <tableColumn id="4" name="Product Category" dataDxfId="319"/>
    <tableColumn id="5" name="Product Name" dataDxfId="318"/>
    <tableColumn id="6" name="Sales" dataDxfId="317"/>
    <tableColumn id="7" name="Cost" dataDxfId="316"/>
    <tableColumn id="8" name="Discount %" dataDxfId="315"/>
    <tableColumn id="9" name="Customer Name" dataDxfId="314"/>
    <tableColumn id="10" name="Segment" dataDxfId="313"/>
    <tableColumn id="11" name="Net sale" dataDxfId="312">
      <calculatedColumnFormula>F2-(F2*H2/100)</calculatedColumnFormula>
    </tableColumn>
    <tableColumn id="12" name="Profit" dataDxfId="311">
      <calculatedColumnFormula>F2-G2</calculatedColumnFormula>
    </tableColumn>
    <tableColumn id="13" name="Profit_Margin_%" dataDxfId="310" dataCellStyle="Percent">
      <calculatedColumnFormula>L2/K2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selection activeCell="I14" sqref="I14"/>
    </sheetView>
  </sheetViews>
  <sheetFormatPr defaultRowHeight="14.5" x14ac:dyDescent="0.35"/>
  <cols>
    <col min="1" max="1" width="13.90625" customWidth="1"/>
    <col min="2" max="2" width="12.1796875" customWidth="1"/>
    <col min="3" max="3" width="10.54296875" customWidth="1"/>
    <col min="4" max="4" width="18.7265625" customWidth="1"/>
    <col min="5" max="5" width="16.90625" customWidth="1"/>
    <col min="6" max="6" width="11.36328125" customWidth="1"/>
    <col min="7" max="7" width="8.90625" customWidth="1"/>
    <col min="8" max="8" width="13.81640625" customWidth="1"/>
    <col min="9" max="9" width="18.36328125" customWidth="1"/>
    <col min="10" max="10" width="19.1796875" customWidth="1"/>
  </cols>
  <sheetData>
    <row r="1" spans="1:10" x14ac:dyDescent="0.35">
      <c r="A1" s="8"/>
      <c r="B1" s="8"/>
      <c r="C1" s="8"/>
      <c r="D1" s="8"/>
      <c r="E1" s="8"/>
      <c r="F1" s="8"/>
      <c r="G1" s="8"/>
      <c r="H1" s="8"/>
      <c r="I1" s="8"/>
      <c r="J1" s="8"/>
    </row>
    <row r="2" spans="1:10" x14ac:dyDescent="0.35">
      <c r="A2" s="3"/>
      <c r="B2" s="2"/>
      <c r="C2" s="3"/>
      <c r="D2" s="3"/>
      <c r="E2" s="3"/>
      <c r="F2" s="3"/>
      <c r="G2" s="3"/>
      <c r="H2" s="3"/>
      <c r="I2" s="3"/>
      <c r="J2" s="3"/>
    </row>
    <row r="3" spans="1:10" x14ac:dyDescent="0.35">
      <c r="A3" s="3"/>
      <c r="B3" s="2"/>
      <c r="C3" s="3" t="s">
        <v>10</v>
      </c>
      <c r="D3" s="3"/>
      <c r="E3" s="3"/>
      <c r="F3" s="3"/>
      <c r="G3" s="3"/>
      <c r="H3" s="3"/>
      <c r="I3" s="3"/>
      <c r="J3" s="3"/>
    </row>
    <row r="4" spans="1:10" x14ac:dyDescent="0.35">
      <c r="A4" s="3"/>
      <c r="B4" s="2"/>
      <c r="C4" s="3" t="s">
        <v>11</v>
      </c>
      <c r="D4" s="3"/>
      <c r="E4" s="3"/>
      <c r="F4" s="3"/>
      <c r="G4" s="3"/>
      <c r="H4" s="3"/>
      <c r="I4" s="3"/>
      <c r="J4" s="3"/>
    </row>
    <row r="5" spans="1:10" x14ac:dyDescent="0.35">
      <c r="A5" s="3"/>
      <c r="B5" s="2"/>
      <c r="C5" s="3" t="s">
        <v>12</v>
      </c>
      <c r="D5" s="3"/>
      <c r="E5" s="3"/>
      <c r="F5" s="3"/>
      <c r="G5" s="3"/>
      <c r="H5" s="3"/>
      <c r="I5" s="3"/>
      <c r="J5" s="3"/>
    </row>
    <row r="6" spans="1:10" x14ac:dyDescent="0.35">
      <c r="A6" s="3"/>
      <c r="B6" s="2"/>
      <c r="C6" s="3" t="s">
        <v>13</v>
      </c>
      <c r="D6" s="3"/>
      <c r="E6" s="3"/>
      <c r="F6" s="3"/>
      <c r="G6" s="3"/>
      <c r="H6" s="3"/>
      <c r="I6" s="3"/>
      <c r="J6" s="3"/>
    </row>
    <row r="7" spans="1:10" x14ac:dyDescent="0.35">
      <c r="A7" s="3"/>
      <c r="B7" s="2"/>
      <c r="C7" s="3" t="s">
        <v>14</v>
      </c>
      <c r="D7" s="3"/>
      <c r="E7" s="3"/>
      <c r="F7" s="3"/>
      <c r="G7" s="3"/>
      <c r="H7" s="3"/>
      <c r="I7" s="3"/>
      <c r="J7" s="3"/>
    </row>
    <row r="8" spans="1:10" x14ac:dyDescent="0.35">
      <c r="A8" s="3"/>
      <c r="B8" s="2"/>
      <c r="C8" s="3" t="s">
        <v>15</v>
      </c>
      <c r="D8" s="3"/>
      <c r="E8" s="3"/>
      <c r="F8" s="3"/>
      <c r="G8" s="3"/>
      <c r="H8" s="3"/>
      <c r="I8" s="3"/>
      <c r="J8" s="3"/>
    </row>
    <row r="9" spans="1:10" x14ac:dyDescent="0.35">
      <c r="A9" s="3"/>
      <c r="B9" s="3"/>
      <c r="C9" s="3" t="s">
        <v>16</v>
      </c>
      <c r="D9" s="3"/>
      <c r="E9" s="3"/>
      <c r="F9" s="3"/>
      <c r="G9" s="3"/>
      <c r="H9" s="3"/>
      <c r="I9" s="3"/>
      <c r="J9" s="3"/>
    </row>
    <row r="10" spans="1:10" x14ac:dyDescent="0.35">
      <c r="A10" s="3"/>
      <c r="B10" s="3"/>
      <c r="C10" s="3" t="s">
        <v>17</v>
      </c>
      <c r="D10" s="3"/>
      <c r="E10" s="3"/>
      <c r="F10" s="3"/>
      <c r="G10" s="3"/>
      <c r="H10" s="3"/>
      <c r="I10" s="3"/>
      <c r="J10" s="3"/>
    </row>
    <row r="11" spans="1:10" x14ac:dyDescent="0.35">
      <c r="A11" s="3"/>
      <c r="B11" s="3"/>
      <c r="C11" s="3" t="s">
        <v>18</v>
      </c>
      <c r="D11" s="3"/>
      <c r="E11" s="3"/>
      <c r="F11" s="3"/>
      <c r="G11" s="3"/>
      <c r="H11" s="3"/>
      <c r="I11" s="3"/>
      <c r="J11" s="3"/>
    </row>
    <row r="12" spans="1:10" x14ac:dyDescent="0.35">
      <c r="A12" s="3"/>
      <c r="B12" s="3"/>
      <c r="C12" s="3" t="s">
        <v>19</v>
      </c>
      <c r="D12" s="3"/>
      <c r="E12" s="3"/>
      <c r="F12" s="3"/>
      <c r="G12" s="3"/>
      <c r="H12" s="3"/>
      <c r="I12" s="3"/>
      <c r="J12" s="3"/>
    </row>
    <row r="13" spans="1:10" x14ac:dyDescent="0.35">
      <c r="A13" s="3"/>
      <c r="B13" s="3"/>
      <c r="C13" s="3" t="s">
        <v>20</v>
      </c>
      <c r="D13" s="3"/>
      <c r="E13" s="3"/>
      <c r="F13" s="3"/>
      <c r="G13" s="3"/>
      <c r="H13" s="3"/>
      <c r="I13" s="3"/>
      <c r="J13" s="3"/>
    </row>
    <row r="14" spans="1:10" x14ac:dyDescent="0.35">
      <c r="A14" s="3"/>
      <c r="B14" s="2"/>
      <c r="C14" s="3" t="s">
        <v>21</v>
      </c>
      <c r="D14" s="3"/>
      <c r="E14" s="3"/>
      <c r="F14" s="3"/>
      <c r="G14" s="3"/>
      <c r="H14" s="3"/>
      <c r="I14" s="3"/>
      <c r="J14" s="3"/>
    </row>
    <row r="15" spans="1:10" x14ac:dyDescent="0.35">
      <c r="A15" s="3"/>
      <c r="B15" s="2"/>
      <c r="C15" s="3" t="s">
        <v>22</v>
      </c>
      <c r="D15" s="3"/>
      <c r="E15" s="3"/>
      <c r="F15" s="3"/>
      <c r="G15" s="3"/>
      <c r="H15" s="3"/>
      <c r="I15" s="3"/>
      <c r="J15" s="3"/>
    </row>
    <row r="16" spans="1:10" x14ac:dyDescent="0.35">
      <c r="A16" s="3"/>
      <c r="B16" s="2"/>
      <c r="C16" s="3" t="s">
        <v>23</v>
      </c>
      <c r="D16" s="3"/>
      <c r="E16" s="3"/>
      <c r="F16" s="3"/>
      <c r="G16" s="3"/>
      <c r="H16" s="3"/>
      <c r="I16" s="3"/>
      <c r="J16" s="3"/>
    </row>
    <row r="17" spans="1:10" x14ac:dyDescent="0.35">
      <c r="A17" s="3"/>
      <c r="B17" s="2"/>
      <c r="C17" s="3" t="s">
        <v>24</v>
      </c>
      <c r="D17" s="3"/>
      <c r="E17" s="3"/>
      <c r="F17" s="3"/>
      <c r="G17" s="3"/>
      <c r="H17" s="3"/>
      <c r="I17" s="3"/>
      <c r="J17" s="3"/>
    </row>
    <row r="18" spans="1:10" x14ac:dyDescent="0.35">
      <c r="A18" s="3"/>
      <c r="B18" s="2"/>
      <c r="C18" s="3" t="s">
        <v>25</v>
      </c>
      <c r="D18" s="3"/>
      <c r="E18" s="3"/>
      <c r="F18" s="3"/>
      <c r="G18" s="3"/>
      <c r="H18" s="3"/>
      <c r="I18" s="3"/>
      <c r="J18" s="3"/>
    </row>
    <row r="19" spans="1:10" x14ac:dyDescent="0.35">
      <c r="A19" s="3"/>
      <c r="B19" s="3"/>
      <c r="C19" s="3" t="s">
        <v>26</v>
      </c>
      <c r="D19" s="3"/>
      <c r="E19" s="3"/>
      <c r="F19" s="3"/>
      <c r="G19" s="3"/>
      <c r="H19" s="3"/>
      <c r="I19" s="3"/>
      <c r="J19" s="3"/>
    </row>
    <row r="20" spans="1:10" x14ac:dyDescent="0.35">
      <c r="A20" s="3"/>
      <c r="B20" s="3"/>
      <c r="C20" s="3" t="s">
        <v>27</v>
      </c>
      <c r="D20" s="3"/>
      <c r="E20" s="3"/>
      <c r="F20" s="3"/>
      <c r="G20" s="3"/>
      <c r="H20" s="3"/>
      <c r="I20" s="3"/>
      <c r="J20" s="3"/>
    </row>
    <row r="21" spans="1:10" x14ac:dyDescent="0.35">
      <c r="A21" s="3"/>
      <c r="B21" s="3"/>
      <c r="C21" s="3" t="s">
        <v>28</v>
      </c>
      <c r="D21" s="3"/>
      <c r="E21" s="3"/>
      <c r="F21" s="3"/>
      <c r="G21" s="3"/>
      <c r="H21" s="3"/>
      <c r="I21" s="3"/>
      <c r="J21" s="3"/>
    </row>
    <row r="22" spans="1:10" x14ac:dyDescent="0.35">
      <c r="A22" s="3"/>
      <c r="B22" s="2"/>
      <c r="C22" s="3" t="s">
        <v>29</v>
      </c>
      <c r="D22" s="3"/>
      <c r="E22" s="3"/>
      <c r="F22" s="3"/>
      <c r="G22" s="3"/>
      <c r="H22" s="3"/>
      <c r="I22" s="3"/>
      <c r="J22" s="3"/>
    </row>
    <row r="23" spans="1:10" x14ac:dyDescent="0.35">
      <c r="A23" s="3"/>
      <c r="B23" s="2"/>
      <c r="C23" s="3" t="s">
        <v>30</v>
      </c>
      <c r="D23" s="3"/>
      <c r="E23" s="3"/>
      <c r="F23" s="3"/>
      <c r="G23" s="3"/>
      <c r="H23" s="3"/>
      <c r="I23" s="3"/>
      <c r="J23" s="3"/>
    </row>
    <row r="24" spans="1:10" x14ac:dyDescent="0.35">
      <c r="A24" s="3"/>
      <c r="B24" s="2"/>
      <c r="C24" s="3" t="s">
        <v>31</v>
      </c>
      <c r="D24" s="3"/>
      <c r="E24" s="3"/>
      <c r="F24" s="3"/>
      <c r="G24" s="3"/>
      <c r="H24" s="3"/>
      <c r="I24" s="3"/>
      <c r="J24" s="3"/>
    </row>
    <row r="25" spans="1:10" x14ac:dyDescent="0.35">
      <c r="A25" s="3"/>
      <c r="B25" s="2"/>
      <c r="C25" s="3" t="s">
        <v>32</v>
      </c>
      <c r="D25" s="3"/>
      <c r="E25" s="3"/>
      <c r="F25" s="3"/>
      <c r="G25" s="3"/>
      <c r="H25" s="3"/>
      <c r="I25" s="3"/>
      <c r="J25" s="3"/>
    </row>
    <row r="26" spans="1:10" x14ac:dyDescent="0.35">
      <c r="A26" s="3"/>
      <c r="B26" s="2"/>
      <c r="C26" s="3" t="s">
        <v>33</v>
      </c>
      <c r="D26" s="3"/>
      <c r="E26" s="3"/>
      <c r="F26" s="3"/>
      <c r="G26" s="3"/>
      <c r="H26" s="3"/>
      <c r="I26" s="3"/>
      <c r="J26" s="3"/>
    </row>
    <row r="27" spans="1:10" x14ac:dyDescent="0.35">
      <c r="A27" s="3"/>
      <c r="B27" s="2"/>
      <c r="C27" s="3" t="s">
        <v>34</v>
      </c>
      <c r="D27" s="3"/>
      <c r="E27" s="3"/>
      <c r="F27" s="3"/>
      <c r="G27" s="3"/>
      <c r="H27" s="3"/>
      <c r="I27" s="3"/>
      <c r="J27" s="3"/>
    </row>
    <row r="28" spans="1:10" x14ac:dyDescent="0.35">
      <c r="A28" s="3"/>
      <c r="B28" s="3"/>
      <c r="C28" s="3" t="s">
        <v>35</v>
      </c>
      <c r="D28" s="3"/>
      <c r="E28" s="3"/>
      <c r="F28" s="3"/>
      <c r="G28" s="3"/>
      <c r="H28" s="3"/>
      <c r="I28" s="3"/>
      <c r="J28" s="3"/>
    </row>
    <row r="29" spans="1:10" x14ac:dyDescent="0.35">
      <c r="A29" s="3"/>
      <c r="B29" s="3"/>
      <c r="C29" s="3" t="s">
        <v>36</v>
      </c>
      <c r="D29" s="3"/>
      <c r="E29" s="3"/>
      <c r="F29" s="3"/>
      <c r="G29" s="3"/>
      <c r="H29" s="3"/>
      <c r="I29" s="3"/>
      <c r="J29" s="3"/>
    </row>
    <row r="30" spans="1:10" x14ac:dyDescent="0.35">
      <c r="A30" s="3"/>
      <c r="B30" s="3"/>
      <c r="C30" s="3" t="s">
        <v>37</v>
      </c>
      <c r="D30" s="3"/>
      <c r="E30" s="3"/>
      <c r="F30" s="3"/>
      <c r="G30" s="3"/>
      <c r="H30" s="3"/>
      <c r="I30" s="3"/>
      <c r="J30" s="3"/>
    </row>
    <row r="31" spans="1:10" x14ac:dyDescent="0.35">
      <c r="A31" s="3"/>
      <c r="B31" s="3"/>
      <c r="C31" s="3" t="s">
        <v>38</v>
      </c>
      <c r="D31" s="3"/>
      <c r="E31" s="3"/>
      <c r="F31" s="3"/>
      <c r="G31" s="3"/>
      <c r="H31" s="3"/>
      <c r="I31" s="3"/>
      <c r="J31" s="3"/>
    </row>
    <row r="32" spans="1:10" x14ac:dyDescent="0.35">
      <c r="A32" s="3"/>
      <c r="B32" s="3"/>
      <c r="C32" s="3" t="s">
        <v>39</v>
      </c>
      <c r="D32" s="3"/>
      <c r="E32" s="3"/>
      <c r="F32" s="3"/>
      <c r="G32" s="3"/>
      <c r="H32" s="3"/>
      <c r="I32" s="3"/>
      <c r="J32" s="3"/>
    </row>
    <row r="33" spans="1:10" x14ac:dyDescent="0.35">
      <c r="A33" s="3"/>
      <c r="B33" s="2"/>
      <c r="C33" s="3" t="s">
        <v>40</v>
      </c>
      <c r="D33" s="3"/>
      <c r="E33" s="3"/>
      <c r="F33" s="3"/>
      <c r="G33" s="3"/>
      <c r="H33" s="3"/>
      <c r="I33" s="3"/>
      <c r="J33" s="3"/>
    </row>
    <row r="34" spans="1:10" x14ac:dyDescent="0.35">
      <c r="A34" s="3"/>
      <c r="B34" s="2"/>
      <c r="C34" s="3" t="s">
        <v>41</v>
      </c>
      <c r="D34" s="3"/>
      <c r="E34" s="3"/>
      <c r="F34" s="3"/>
      <c r="G34" s="3"/>
      <c r="H34" s="3"/>
      <c r="I34" s="3"/>
      <c r="J34" s="3"/>
    </row>
    <row r="35" spans="1:10" x14ac:dyDescent="0.35">
      <c r="A35" s="3"/>
      <c r="B35" s="2"/>
      <c r="C35" s="3" t="s">
        <v>42</v>
      </c>
      <c r="D35" s="3"/>
      <c r="E35" s="3"/>
      <c r="F35" s="3"/>
      <c r="G35" s="3"/>
      <c r="H35" s="3"/>
      <c r="I35" s="3"/>
      <c r="J35" s="3"/>
    </row>
    <row r="36" spans="1:10" x14ac:dyDescent="0.35">
      <c r="A36" s="3"/>
      <c r="B36" s="2"/>
      <c r="C36" s="3" t="s">
        <v>43</v>
      </c>
      <c r="D36" s="3"/>
      <c r="E36" s="3"/>
      <c r="F36" s="3"/>
      <c r="G36" s="3"/>
      <c r="H36" s="3"/>
      <c r="I36" s="3"/>
      <c r="J36" s="3"/>
    </row>
    <row r="37" spans="1:10" x14ac:dyDescent="0.35">
      <c r="A37" s="3"/>
      <c r="B37" s="2"/>
      <c r="C37" s="3" t="s">
        <v>44</v>
      </c>
      <c r="D37" s="3"/>
      <c r="E37" s="3"/>
      <c r="F37" s="3"/>
      <c r="G37" s="3"/>
      <c r="H37" s="3"/>
      <c r="I37" s="3"/>
      <c r="J37" s="3"/>
    </row>
    <row r="38" spans="1:10" x14ac:dyDescent="0.35">
      <c r="A38" s="3"/>
      <c r="B38" s="3"/>
      <c r="C38" s="3" t="s">
        <v>45</v>
      </c>
      <c r="D38" s="3"/>
      <c r="E38" s="3"/>
      <c r="F38" s="3"/>
      <c r="G38" s="3"/>
      <c r="H38" s="3"/>
      <c r="I38" s="3"/>
      <c r="J38" s="3"/>
    </row>
    <row r="39" spans="1:10" x14ac:dyDescent="0.35">
      <c r="A39" s="3"/>
      <c r="B39" s="3"/>
      <c r="C39" s="3" t="s">
        <v>46</v>
      </c>
      <c r="D39" s="3"/>
      <c r="E39" s="3"/>
      <c r="F39" s="3"/>
      <c r="G39" s="3"/>
      <c r="H39" s="3"/>
      <c r="I39" s="3"/>
      <c r="J39" s="3"/>
    </row>
    <row r="40" spans="1:10" x14ac:dyDescent="0.35">
      <c r="A40" s="3"/>
      <c r="B40" s="3"/>
      <c r="C40" s="3" t="s">
        <v>47</v>
      </c>
      <c r="D40" s="3"/>
      <c r="E40" s="3"/>
      <c r="F40" s="3"/>
      <c r="G40" s="3"/>
      <c r="H40" s="3"/>
      <c r="I40" s="3"/>
      <c r="J40" s="3"/>
    </row>
    <row r="41" spans="1:10" x14ac:dyDescent="0.35">
      <c r="A41" s="3"/>
      <c r="B41" s="3"/>
      <c r="C41" s="3" t="s">
        <v>48</v>
      </c>
      <c r="D41" s="3"/>
      <c r="E41" s="3"/>
      <c r="F41" s="3"/>
      <c r="G41" s="3"/>
      <c r="H41" s="3"/>
      <c r="I41" s="3"/>
      <c r="J41" s="3"/>
    </row>
    <row r="42" spans="1:10" x14ac:dyDescent="0.35">
      <c r="C42" t="s">
        <v>49</v>
      </c>
    </row>
    <row r="43" spans="1:10" x14ac:dyDescent="0.35">
      <c r="C43"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C4" sqref="C4"/>
    </sheetView>
  </sheetViews>
  <sheetFormatPr defaultRowHeight="14.5" x14ac:dyDescent="0.35"/>
  <cols>
    <col min="1" max="1" width="12.36328125" customWidth="1"/>
    <col min="2" max="2" width="13.90625" bestFit="1" customWidth="1"/>
  </cols>
  <sheetData>
    <row r="3" spans="1:2" x14ac:dyDescent="0.35">
      <c r="A3" s="23" t="s">
        <v>157</v>
      </c>
      <c r="B3" s="21" t="s">
        <v>156</v>
      </c>
    </row>
    <row r="4" spans="1:2" x14ac:dyDescent="0.35">
      <c r="A4" s="29" t="s">
        <v>56</v>
      </c>
      <c r="B4" s="26">
        <v>459230</v>
      </c>
    </row>
    <row r="5" spans="1:2" x14ac:dyDescent="0.35">
      <c r="A5" s="30" t="s">
        <v>61</v>
      </c>
      <c r="B5" s="27">
        <v>192880</v>
      </c>
    </row>
    <row r="6" spans="1:2" x14ac:dyDescent="0.35">
      <c r="A6" s="30" t="s">
        <v>69</v>
      </c>
      <c r="B6" s="27">
        <v>128440</v>
      </c>
    </row>
    <row r="7" spans="1:2" x14ac:dyDescent="0.35">
      <c r="A7" s="31" t="s">
        <v>51</v>
      </c>
      <c r="B7" s="27">
        <v>383240</v>
      </c>
    </row>
    <row r="8" spans="1:2" x14ac:dyDescent="0.35">
      <c r="A8" s="24" t="s">
        <v>158</v>
      </c>
      <c r="B8" s="28">
        <v>1163790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N18" sqref="N18"/>
    </sheetView>
  </sheetViews>
  <sheetFormatPr defaultRowHeight="14.5" x14ac:dyDescent="0.35"/>
  <cols>
    <col min="1" max="1" width="12.36328125" bestFit="1" customWidth="1"/>
    <col min="2" max="2" width="11.26953125" bestFit="1" customWidth="1"/>
  </cols>
  <sheetData>
    <row r="3" spans="1:2" x14ac:dyDescent="0.35">
      <c r="A3" s="23" t="s">
        <v>157</v>
      </c>
      <c r="B3" s="21" t="s">
        <v>159</v>
      </c>
    </row>
    <row r="4" spans="1:2" x14ac:dyDescent="0.35">
      <c r="A4" s="24" t="s">
        <v>57</v>
      </c>
      <c r="B4" s="25">
        <v>520000</v>
      </c>
    </row>
    <row r="5" spans="1:2" x14ac:dyDescent="0.35">
      <c r="A5" s="24" t="s">
        <v>52</v>
      </c>
      <c r="B5" s="25">
        <v>659000</v>
      </c>
    </row>
    <row r="6" spans="1:2" x14ac:dyDescent="0.35">
      <c r="A6" s="24" t="s">
        <v>65</v>
      </c>
      <c r="B6" s="25">
        <v>133000</v>
      </c>
    </row>
    <row r="7" spans="1:2" x14ac:dyDescent="0.35">
      <c r="A7" s="24" t="s">
        <v>158</v>
      </c>
      <c r="B7" s="25">
        <v>1312000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topLeftCell="A2" zoomScale="70" zoomScaleNormal="70" workbookViewId="0">
      <selection activeCell="E23" sqref="E23"/>
    </sheetView>
  </sheetViews>
  <sheetFormatPr defaultRowHeight="14.5" x14ac:dyDescent="0.35"/>
  <cols>
    <col min="1" max="1" width="12.1796875" customWidth="1"/>
    <col min="2" max="2" width="13.08984375" customWidth="1"/>
    <col min="3" max="3" width="13.90625" customWidth="1"/>
    <col min="4" max="4" width="19.1796875" customWidth="1"/>
    <col min="5" max="5" width="17.6328125" customWidth="1"/>
    <col min="6" max="6" width="11.81640625" customWidth="1"/>
    <col min="7" max="7" width="11.90625" customWidth="1"/>
    <col min="8" max="8" width="10.36328125" customWidth="1"/>
    <col min="9" max="9" width="20" customWidth="1"/>
    <col min="10" max="10" width="16.81640625" customWidth="1"/>
    <col min="11" max="11" width="13.90625" customWidth="1"/>
    <col min="12" max="12" width="11.1796875" customWidth="1"/>
    <col min="13" max="13" width="14.90625" customWidth="1"/>
  </cols>
  <sheetData>
    <row r="1" spans="1:13" x14ac:dyDescent="0.35">
      <c r="A1" s="7" t="s">
        <v>0</v>
      </c>
      <c r="B1" s="8" t="s">
        <v>1</v>
      </c>
      <c r="C1" s="8" t="s">
        <v>2</v>
      </c>
      <c r="D1" s="8" t="s">
        <v>3</v>
      </c>
      <c r="E1" s="8" t="s">
        <v>4</v>
      </c>
      <c r="F1" s="8" t="s">
        <v>5</v>
      </c>
      <c r="G1" s="8" t="s">
        <v>6</v>
      </c>
      <c r="H1" s="8" t="s">
        <v>7</v>
      </c>
      <c r="I1" s="8" t="s">
        <v>8</v>
      </c>
      <c r="J1" s="9" t="s">
        <v>9</v>
      </c>
      <c r="K1" s="13" t="s">
        <v>150</v>
      </c>
      <c r="L1" s="12" t="s">
        <v>151</v>
      </c>
      <c r="M1" s="14" t="s">
        <v>152</v>
      </c>
    </row>
    <row r="2" spans="1:13" x14ac:dyDescent="0.35">
      <c r="A2" s="5">
        <v>1001</v>
      </c>
      <c r="B2" s="6">
        <v>45658</v>
      </c>
      <c r="C2" s="5" t="s">
        <v>51</v>
      </c>
      <c r="D2" s="5" t="s">
        <v>52</v>
      </c>
      <c r="E2" s="5" t="s">
        <v>53</v>
      </c>
      <c r="F2" s="5">
        <v>12000</v>
      </c>
      <c r="G2" s="5">
        <v>8000</v>
      </c>
      <c r="H2" s="5">
        <v>10</v>
      </c>
      <c r="I2" s="5" t="s">
        <v>54</v>
      </c>
      <c r="J2" s="5" t="s">
        <v>55</v>
      </c>
      <c r="K2" s="10">
        <f t="shared" ref="K2:K41" si="0">F2-(F2*H2/100)</f>
        <v>10800</v>
      </c>
      <c r="L2" s="10">
        <f t="shared" ref="L2:L41" si="1">F2-G2</f>
        <v>4000</v>
      </c>
      <c r="M2" s="15">
        <f t="shared" ref="M2:M41" si="2">L2/K2</f>
        <v>0.37037037037037035</v>
      </c>
    </row>
    <row r="3" spans="1:13" x14ac:dyDescent="0.35">
      <c r="A3" s="5">
        <v>1002</v>
      </c>
      <c r="B3" s="6">
        <v>45689</v>
      </c>
      <c r="C3" s="5" t="s">
        <v>56</v>
      </c>
      <c r="D3" s="5" t="s">
        <v>57</v>
      </c>
      <c r="E3" s="5" t="s">
        <v>58</v>
      </c>
      <c r="F3" s="5">
        <v>55000</v>
      </c>
      <c r="G3" s="5">
        <v>48000</v>
      </c>
      <c r="H3" s="5">
        <v>5</v>
      </c>
      <c r="I3" s="5" t="s">
        <v>59</v>
      </c>
      <c r="J3" s="5" t="s">
        <v>60</v>
      </c>
      <c r="K3" s="5">
        <f t="shared" si="0"/>
        <v>52250</v>
      </c>
      <c r="L3" s="5">
        <f t="shared" si="1"/>
        <v>7000</v>
      </c>
      <c r="M3" s="16">
        <f t="shared" si="2"/>
        <v>0.13397129186602871</v>
      </c>
    </row>
    <row r="4" spans="1:13" x14ac:dyDescent="0.35">
      <c r="A4" s="5">
        <v>1003</v>
      </c>
      <c r="B4" s="6">
        <v>45778</v>
      </c>
      <c r="C4" s="5" t="s">
        <v>61</v>
      </c>
      <c r="D4" s="5" t="s">
        <v>52</v>
      </c>
      <c r="E4" s="5" t="s">
        <v>62</v>
      </c>
      <c r="F4" s="5">
        <v>15000</v>
      </c>
      <c r="G4" s="5">
        <v>12000</v>
      </c>
      <c r="H4" s="5">
        <v>15</v>
      </c>
      <c r="I4" s="5" t="s">
        <v>63</v>
      </c>
      <c r="J4" s="5" t="s">
        <v>55</v>
      </c>
      <c r="K4" s="5">
        <f t="shared" si="0"/>
        <v>12750</v>
      </c>
      <c r="L4" s="5">
        <f t="shared" si="1"/>
        <v>3000</v>
      </c>
      <c r="M4" s="16">
        <f t="shared" si="2"/>
        <v>0.23529411764705882</v>
      </c>
    </row>
    <row r="5" spans="1:13" x14ac:dyDescent="0.35">
      <c r="A5" s="5">
        <v>1004</v>
      </c>
      <c r="B5" s="6">
        <v>45839</v>
      </c>
      <c r="C5" s="5" t="s">
        <v>64</v>
      </c>
      <c r="D5" s="5" t="s">
        <v>65</v>
      </c>
      <c r="E5" s="5" t="s">
        <v>66</v>
      </c>
      <c r="F5" s="5">
        <v>18000</v>
      </c>
      <c r="G5" s="5">
        <v>15000</v>
      </c>
      <c r="H5" s="5">
        <v>0</v>
      </c>
      <c r="I5" s="5" t="s">
        <v>67</v>
      </c>
      <c r="J5" s="5" t="s">
        <v>68</v>
      </c>
      <c r="K5" s="5">
        <f t="shared" si="0"/>
        <v>18000</v>
      </c>
      <c r="L5" s="5">
        <f t="shared" si="1"/>
        <v>3000</v>
      </c>
      <c r="M5" s="16">
        <f t="shared" si="2"/>
        <v>0.16666666666666666</v>
      </c>
    </row>
    <row r="6" spans="1:13" x14ac:dyDescent="0.35">
      <c r="A6" s="5">
        <v>1005</v>
      </c>
      <c r="B6" s="6">
        <v>45870</v>
      </c>
      <c r="C6" s="5" t="s">
        <v>69</v>
      </c>
      <c r="D6" s="5" t="s">
        <v>57</v>
      </c>
      <c r="E6" s="5" t="s">
        <v>70</v>
      </c>
      <c r="F6" s="5">
        <v>30000</v>
      </c>
      <c r="G6" s="5">
        <v>25000</v>
      </c>
      <c r="H6" s="5">
        <v>8</v>
      </c>
      <c r="I6" s="5" t="s">
        <v>71</v>
      </c>
      <c r="J6" s="5" t="s">
        <v>60</v>
      </c>
      <c r="K6" s="5">
        <f t="shared" si="0"/>
        <v>27600</v>
      </c>
      <c r="L6" s="5">
        <f t="shared" si="1"/>
        <v>5000</v>
      </c>
      <c r="M6" s="16">
        <f t="shared" si="2"/>
        <v>0.18115942028985507</v>
      </c>
    </row>
    <row r="7" spans="1:13" x14ac:dyDescent="0.35">
      <c r="A7" s="5">
        <v>1006</v>
      </c>
      <c r="B7" s="6">
        <v>45931</v>
      </c>
      <c r="C7" s="5" t="s">
        <v>72</v>
      </c>
      <c r="D7" s="5" t="s">
        <v>52</v>
      </c>
      <c r="E7" s="5" t="s">
        <v>73</v>
      </c>
      <c r="F7" s="5">
        <v>40000</v>
      </c>
      <c r="G7" s="5">
        <v>35000</v>
      </c>
      <c r="H7" s="5">
        <v>20</v>
      </c>
      <c r="I7" s="5" t="s">
        <v>74</v>
      </c>
      <c r="J7" s="5" t="s">
        <v>55</v>
      </c>
      <c r="K7" s="5">
        <f t="shared" si="0"/>
        <v>32000</v>
      </c>
      <c r="L7" s="5">
        <f t="shared" si="1"/>
        <v>5000</v>
      </c>
      <c r="M7" s="16">
        <f t="shared" si="2"/>
        <v>0.15625</v>
      </c>
    </row>
    <row r="8" spans="1:13" x14ac:dyDescent="0.35">
      <c r="A8" s="5">
        <v>1007</v>
      </c>
      <c r="B8" s="6">
        <v>45992</v>
      </c>
      <c r="C8" s="5" t="s">
        <v>75</v>
      </c>
      <c r="D8" s="5" t="s">
        <v>57</v>
      </c>
      <c r="E8" s="5" t="s">
        <v>76</v>
      </c>
      <c r="F8" s="5">
        <v>22000</v>
      </c>
      <c r="G8" s="5">
        <v>20000</v>
      </c>
      <c r="H8" s="5">
        <v>5</v>
      </c>
      <c r="I8" s="5" t="s">
        <v>77</v>
      </c>
      <c r="J8" s="5" t="s">
        <v>68</v>
      </c>
      <c r="K8" s="5">
        <f t="shared" si="0"/>
        <v>20900</v>
      </c>
      <c r="L8" s="5">
        <f t="shared" si="1"/>
        <v>2000</v>
      </c>
      <c r="M8" s="16">
        <f t="shared" si="2"/>
        <v>9.569377990430622E-2</v>
      </c>
    </row>
    <row r="9" spans="1:13" x14ac:dyDescent="0.35">
      <c r="A9" s="5">
        <v>1008</v>
      </c>
      <c r="B9" s="5" t="s">
        <v>78</v>
      </c>
      <c r="C9" s="5" t="s">
        <v>51</v>
      </c>
      <c r="D9" s="5" t="s">
        <v>52</v>
      </c>
      <c r="E9" s="5" t="s">
        <v>79</v>
      </c>
      <c r="F9" s="5">
        <v>17000</v>
      </c>
      <c r="G9" s="5">
        <v>13000</v>
      </c>
      <c r="H9" s="5">
        <v>12</v>
      </c>
      <c r="I9" s="5" t="s">
        <v>80</v>
      </c>
      <c r="J9" s="5" t="s">
        <v>60</v>
      </c>
      <c r="K9" s="5">
        <f t="shared" si="0"/>
        <v>14960</v>
      </c>
      <c r="L9" s="5">
        <f t="shared" si="1"/>
        <v>4000</v>
      </c>
      <c r="M9" s="16">
        <f t="shared" si="2"/>
        <v>0.26737967914438504</v>
      </c>
    </row>
    <row r="10" spans="1:13" x14ac:dyDescent="0.35">
      <c r="A10" s="5">
        <v>1009</v>
      </c>
      <c r="B10" s="5" t="s">
        <v>81</v>
      </c>
      <c r="C10" s="5" t="s">
        <v>82</v>
      </c>
      <c r="D10" s="5" t="s">
        <v>65</v>
      </c>
      <c r="E10" s="5" t="s">
        <v>83</v>
      </c>
      <c r="F10" s="5">
        <v>25000</v>
      </c>
      <c r="G10" s="5">
        <v>21000</v>
      </c>
      <c r="H10" s="5">
        <v>7</v>
      </c>
      <c r="I10" s="5" t="s">
        <v>84</v>
      </c>
      <c r="J10" s="5" t="s">
        <v>55</v>
      </c>
      <c r="K10" s="5">
        <f t="shared" si="0"/>
        <v>23250</v>
      </c>
      <c r="L10" s="5">
        <f t="shared" si="1"/>
        <v>4000</v>
      </c>
      <c r="M10" s="16">
        <f t="shared" si="2"/>
        <v>0.17204301075268819</v>
      </c>
    </row>
    <row r="11" spans="1:13" x14ac:dyDescent="0.35">
      <c r="A11" s="5">
        <v>1010</v>
      </c>
      <c r="B11" s="5" t="s">
        <v>85</v>
      </c>
      <c r="C11" s="5" t="s">
        <v>72</v>
      </c>
      <c r="D11" s="5" t="s">
        <v>57</v>
      </c>
      <c r="E11" s="5" t="s">
        <v>86</v>
      </c>
      <c r="F11" s="5">
        <v>8000</v>
      </c>
      <c r="G11" s="5">
        <v>6000</v>
      </c>
      <c r="H11" s="5">
        <v>3</v>
      </c>
      <c r="I11" s="5" t="s">
        <v>87</v>
      </c>
      <c r="J11" s="5" t="s">
        <v>60</v>
      </c>
      <c r="K11" s="5">
        <f t="shared" si="0"/>
        <v>7760</v>
      </c>
      <c r="L11" s="5">
        <f t="shared" si="1"/>
        <v>2000</v>
      </c>
      <c r="M11" s="16">
        <f t="shared" si="2"/>
        <v>0.25773195876288657</v>
      </c>
    </row>
    <row r="12" spans="1:13" x14ac:dyDescent="0.35">
      <c r="A12" s="5">
        <v>1011</v>
      </c>
      <c r="B12" s="5" t="s">
        <v>88</v>
      </c>
      <c r="C12" s="5" t="s">
        <v>89</v>
      </c>
      <c r="D12" s="5" t="s">
        <v>52</v>
      </c>
      <c r="E12" s="5" t="s">
        <v>90</v>
      </c>
      <c r="F12" s="5">
        <v>22000</v>
      </c>
      <c r="G12" s="5">
        <v>17000</v>
      </c>
      <c r="H12" s="5">
        <v>5</v>
      </c>
      <c r="I12" s="5" t="s">
        <v>91</v>
      </c>
      <c r="J12" s="5" t="s">
        <v>55</v>
      </c>
      <c r="K12" s="5">
        <f t="shared" si="0"/>
        <v>20900</v>
      </c>
      <c r="L12" s="5">
        <f t="shared" si="1"/>
        <v>5000</v>
      </c>
      <c r="M12" s="16">
        <f t="shared" si="2"/>
        <v>0.23923444976076555</v>
      </c>
    </row>
    <row r="13" spans="1:13" x14ac:dyDescent="0.35">
      <c r="A13" s="5">
        <v>1012</v>
      </c>
      <c r="B13" s="5" t="s">
        <v>92</v>
      </c>
      <c r="C13" s="5" t="s">
        <v>93</v>
      </c>
      <c r="D13" s="5" t="s">
        <v>57</v>
      </c>
      <c r="E13" s="5" t="s">
        <v>94</v>
      </c>
      <c r="F13" s="5">
        <v>45000</v>
      </c>
      <c r="G13" s="5">
        <v>39000</v>
      </c>
      <c r="H13" s="5">
        <v>10</v>
      </c>
      <c r="I13" s="5" t="s">
        <v>95</v>
      </c>
      <c r="J13" s="5" t="s">
        <v>60</v>
      </c>
      <c r="K13" s="5">
        <f t="shared" si="0"/>
        <v>40500</v>
      </c>
      <c r="L13" s="5">
        <f t="shared" si="1"/>
        <v>6000</v>
      </c>
      <c r="M13" s="16">
        <f t="shared" si="2"/>
        <v>0.14814814814814814</v>
      </c>
    </row>
    <row r="14" spans="1:13" x14ac:dyDescent="0.35">
      <c r="A14" s="5">
        <v>1013</v>
      </c>
      <c r="B14" s="6">
        <v>45690</v>
      </c>
      <c r="C14" s="5" t="s">
        <v>96</v>
      </c>
      <c r="D14" s="5" t="s">
        <v>65</v>
      </c>
      <c r="E14" s="5" t="s">
        <v>97</v>
      </c>
      <c r="F14" s="5">
        <v>12000</v>
      </c>
      <c r="G14" s="5">
        <v>9000</v>
      </c>
      <c r="H14" s="5">
        <v>4</v>
      </c>
      <c r="I14" s="5" t="s">
        <v>98</v>
      </c>
      <c r="J14" s="5" t="s">
        <v>55</v>
      </c>
      <c r="K14" s="5">
        <f t="shared" si="0"/>
        <v>11520</v>
      </c>
      <c r="L14" s="5">
        <f t="shared" si="1"/>
        <v>3000</v>
      </c>
      <c r="M14" s="16">
        <f t="shared" si="2"/>
        <v>0.26041666666666669</v>
      </c>
    </row>
    <row r="15" spans="1:13" x14ac:dyDescent="0.35">
      <c r="A15" s="5">
        <v>1014</v>
      </c>
      <c r="B15" s="6">
        <v>45749</v>
      </c>
      <c r="C15" s="5" t="s">
        <v>56</v>
      </c>
      <c r="D15" s="5" t="s">
        <v>52</v>
      </c>
      <c r="E15" s="5" t="s">
        <v>99</v>
      </c>
      <c r="F15" s="5">
        <v>60000</v>
      </c>
      <c r="G15" s="5">
        <v>52000</v>
      </c>
      <c r="H15" s="5">
        <v>18</v>
      </c>
      <c r="I15" s="5" t="s">
        <v>100</v>
      </c>
      <c r="J15" s="5" t="s">
        <v>68</v>
      </c>
      <c r="K15" s="5">
        <f t="shared" si="0"/>
        <v>49200</v>
      </c>
      <c r="L15" s="5">
        <f t="shared" si="1"/>
        <v>8000</v>
      </c>
      <c r="M15" s="16">
        <f t="shared" si="2"/>
        <v>0.16260162601626016</v>
      </c>
    </row>
    <row r="16" spans="1:13" x14ac:dyDescent="0.35">
      <c r="A16" s="5">
        <v>1015</v>
      </c>
      <c r="B16" s="6">
        <v>45840</v>
      </c>
      <c r="C16" s="5" t="s">
        <v>64</v>
      </c>
      <c r="D16" s="5" t="s">
        <v>57</v>
      </c>
      <c r="E16" s="5" t="s">
        <v>101</v>
      </c>
      <c r="F16" s="5">
        <v>15000</v>
      </c>
      <c r="G16" s="5">
        <v>12000</v>
      </c>
      <c r="H16" s="5">
        <v>6</v>
      </c>
      <c r="I16" s="5" t="s">
        <v>102</v>
      </c>
      <c r="J16" s="5" t="s">
        <v>60</v>
      </c>
      <c r="K16" s="5">
        <f t="shared" si="0"/>
        <v>14100</v>
      </c>
      <c r="L16" s="5">
        <f t="shared" si="1"/>
        <v>3000</v>
      </c>
      <c r="M16" s="16">
        <f t="shared" si="2"/>
        <v>0.21276595744680851</v>
      </c>
    </row>
    <row r="17" spans="1:13" x14ac:dyDescent="0.35">
      <c r="A17" s="5">
        <v>1016</v>
      </c>
      <c r="B17" s="6">
        <v>45932</v>
      </c>
      <c r="C17" s="5" t="s">
        <v>61</v>
      </c>
      <c r="D17" s="5" t="s">
        <v>52</v>
      </c>
      <c r="E17" s="5" t="s">
        <v>103</v>
      </c>
      <c r="F17" s="5">
        <v>21000</v>
      </c>
      <c r="G17" s="5">
        <v>18000</v>
      </c>
      <c r="H17" s="5">
        <v>9</v>
      </c>
      <c r="I17" s="5" t="s">
        <v>104</v>
      </c>
      <c r="J17" s="5" t="s">
        <v>55</v>
      </c>
      <c r="K17" s="5">
        <f t="shared" si="0"/>
        <v>19110</v>
      </c>
      <c r="L17" s="5">
        <f t="shared" si="1"/>
        <v>3000</v>
      </c>
      <c r="M17" s="16">
        <f t="shared" si="2"/>
        <v>0.15698587127158556</v>
      </c>
    </row>
    <row r="18" spans="1:13" x14ac:dyDescent="0.35">
      <c r="A18" s="5">
        <v>1017</v>
      </c>
      <c r="B18" s="6">
        <v>45993</v>
      </c>
      <c r="C18" s="5" t="s">
        <v>69</v>
      </c>
      <c r="D18" s="5" t="s">
        <v>65</v>
      </c>
      <c r="E18" s="5" t="s">
        <v>105</v>
      </c>
      <c r="F18" s="5">
        <v>5000</v>
      </c>
      <c r="G18" s="5">
        <v>3500</v>
      </c>
      <c r="H18" s="5">
        <v>2</v>
      </c>
      <c r="I18" s="5" t="s">
        <v>106</v>
      </c>
      <c r="J18" s="5" t="s">
        <v>60</v>
      </c>
      <c r="K18" s="5">
        <f t="shared" si="0"/>
        <v>4900</v>
      </c>
      <c r="L18" s="5">
        <f t="shared" si="1"/>
        <v>1500</v>
      </c>
      <c r="M18" s="16">
        <f t="shared" si="2"/>
        <v>0.30612244897959184</v>
      </c>
    </row>
    <row r="19" spans="1:13" x14ac:dyDescent="0.35">
      <c r="A19" s="5">
        <v>1018</v>
      </c>
      <c r="B19" s="5" t="s">
        <v>107</v>
      </c>
      <c r="C19" s="5" t="s">
        <v>72</v>
      </c>
      <c r="D19" s="5" t="s">
        <v>57</v>
      </c>
      <c r="E19" s="5" t="s">
        <v>108</v>
      </c>
      <c r="F19" s="5">
        <v>70000</v>
      </c>
      <c r="G19" s="5">
        <v>60000</v>
      </c>
      <c r="H19" s="5">
        <v>15</v>
      </c>
      <c r="I19" s="5" t="s">
        <v>109</v>
      </c>
      <c r="J19" s="5" t="s">
        <v>55</v>
      </c>
      <c r="K19" s="5">
        <f t="shared" si="0"/>
        <v>59500</v>
      </c>
      <c r="L19" s="5">
        <f t="shared" si="1"/>
        <v>10000</v>
      </c>
      <c r="M19" s="16">
        <f t="shared" si="2"/>
        <v>0.16806722689075632</v>
      </c>
    </row>
    <row r="20" spans="1:13" x14ac:dyDescent="0.35">
      <c r="A20" s="5">
        <v>1019</v>
      </c>
      <c r="B20" s="5" t="s">
        <v>110</v>
      </c>
      <c r="C20" s="5" t="s">
        <v>64</v>
      </c>
      <c r="D20" s="5" t="s">
        <v>52</v>
      </c>
      <c r="E20" s="5" t="s">
        <v>111</v>
      </c>
      <c r="F20" s="5">
        <v>85000</v>
      </c>
      <c r="G20" s="5">
        <v>75000</v>
      </c>
      <c r="H20" s="5">
        <v>12</v>
      </c>
      <c r="I20" s="5" t="s">
        <v>112</v>
      </c>
      <c r="J20" s="5" t="s">
        <v>55</v>
      </c>
      <c r="K20" s="5">
        <f t="shared" si="0"/>
        <v>74800</v>
      </c>
      <c r="L20" s="5">
        <f t="shared" si="1"/>
        <v>10000</v>
      </c>
      <c r="M20" s="16">
        <f t="shared" si="2"/>
        <v>0.13368983957219252</v>
      </c>
    </row>
    <row r="21" spans="1:13" x14ac:dyDescent="0.35">
      <c r="A21" s="5">
        <v>1020</v>
      </c>
      <c r="B21" s="5" t="s">
        <v>113</v>
      </c>
      <c r="C21" s="5" t="s">
        <v>75</v>
      </c>
      <c r="D21" s="5" t="s">
        <v>57</v>
      </c>
      <c r="E21" s="5" t="s">
        <v>114</v>
      </c>
      <c r="F21" s="5">
        <v>12000</v>
      </c>
      <c r="G21" s="5">
        <v>9500</v>
      </c>
      <c r="H21" s="5">
        <v>5</v>
      </c>
      <c r="I21" s="5" t="s">
        <v>115</v>
      </c>
      <c r="J21" s="5" t="s">
        <v>68</v>
      </c>
      <c r="K21" s="5">
        <f t="shared" si="0"/>
        <v>11400</v>
      </c>
      <c r="L21" s="5">
        <f t="shared" si="1"/>
        <v>2500</v>
      </c>
      <c r="M21" s="16">
        <f t="shared" si="2"/>
        <v>0.21929824561403508</v>
      </c>
    </row>
    <row r="22" spans="1:13" x14ac:dyDescent="0.35">
      <c r="A22" s="5">
        <v>1021</v>
      </c>
      <c r="B22" s="6">
        <v>45660</v>
      </c>
      <c r="C22" s="5" t="s">
        <v>96</v>
      </c>
      <c r="D22" s="5" t="s">
        <v>65</v>
      </c>
      <c r="E22" s="5" t="s">
        <v>116</v>
      </c>
      <c r="F22" s="5">
        <v>3000</v>
      </c>
      <c r="G22" s="5">
        <v>2000</v>
      </c>
      <c r="H22" s="5">
        <v>0</v>
      </c>
      <c r="I22" s="5" t="s">
        <v>117</v>
      </c>
      <c r="J22" s="5" t="s">
        <v>60</v>
      </c>
      <c r="K22" s="5">
        <f t="shared" si="0"/>
        <v>3000</v>
      </c>
      <c r="L22" s="5">
        <f t="shared" si="1"/>
        <v>1000</v>
      </c>
      <c r="M22" s="16">
        <f t="shared" si="2"/>
        <v>0.33333333333333331</v>
      </c>
    </row>
    <row r="23" spans="1:13" x14ac:dyDescent="0.35">
      <c r="A23" s="5">
        <v>1022</v>
      </c>
      <c r="B23" s="6">
        <v>45719</v>
      </c>
      <c r="C23" s="5" t="s">
        <v>118</v>
      </c>
      <c r="D23" s="5" t="s">
        <v>52</v>
      </c>
      <c r="E23" s="5" t="s">
        <v>119</v>
      </c>
      <c r="F23" s="5">
        <v>95000</v>
      </c>
      <c r="G23" s="5">
        <v>85000</v>
      </c>
      <c r="H23" s="5">
        <v>20</v>
      </c>
      <c r="I23" s="5" t="s">
        <v>120</v>
      </c>
      <c r="J23" s="5" t="s">
        <v>55</v>
      </c>
      <c r="K23" s="5">
        <f t="shared" si="0"/>
        <v>76000</v>
      </c>
      <c r="L23" s="5">
        <f t="shared" si="1"/>
        <v>10000</v>
      </c>
      <c r="M23" s="16">
        <f t="shared" si="2"/>
        <v>0.13157894736842105</v>
      </c>
    </row>
    <row r="24" spans="1:13" x14ac:dyDescent="0.35">
      <c r="A24" s="5">
        <v>1023</v>
      </c>
      <c r="B24" s="6">
        <v>45780</v>
      </c>
      <c r="C24" s="5" t="s">
        <v>89</v>
      </c>
      <c r="D24" s="5" t="s">
        <v>57</v>
      </c>
      <c r="E24" s="5" t="s">
        <v>58</v>
      </c>
      <c r="F24" s="5">
        <v>65000</v>
      </c>
      <c r="G24" s="5">
        <v>58000</v>
      </c>
      <c r="H24" s="5">
        <v>8</v>
      </c>
      <c r="I24" s="5" t="s">
        <v>121</v>
      </c>
      <c r="J24" s="5" t="s">
        <v>60</v>
      </c>
      <c r="K24" s="5">
        <f t="shared" si="0"/>
        <v>59800</v>
      </c>
      <c r="L24" s="5">
        <f t="shared" si="1"/>
        <v>7000</v>
      </c>
      <c r="M24" s="16">
        <f t="shared" si="2"/>
        <v>0.11705685618729098</v>
      </c>
    </row>
    <row r="25" spans="1:13" x14ac:dyDescent="0.35">
      <c r="A25" s="5">
        <v>1024</v>
      </c>
      <c r="B25" s="6">
        <v>45872</v>
      </c>
      <c r="C25" s="5" t="s">
        <v>75</v>
      </c>
      <c r="D25" s="5" t="s">
        <v>52</v>
      </c>
      <c r="E25" s="5" t="s">
        <v>122</v>
      </c>
      <c r="F25" s="5">
        <v>9000</v>
      </c>
      <c r="G25" s="5">
        <v>7000</v>
      </c>
      <c r="H25" s="5">
        <v>5</v>
      </c>
      <c r="I25" s="5" t="s">
        <v>123</v>
      </c>
      <c r="J25" s="5" t="s">
        <v>68</v>
      </c>
      <c r="K25" s="5">
        <f t="shared" si="0"/>
        <v>8550</v>
      </c>
      <c r="L25" s="5">
        <f t="shared" si="1"/>
        <v>2000</v>
      </c>
      <c r="M25" s="16">
        <f t="shared" si="2"/>
        <v>0.23391812865497075</v>
      </c>
    </row>
    <row r="26" spans="1:13" x14ac:dyDescent="0.35">
      <c r="A26" s="5">
        <v>1025</v>
      </c>
      <c r="B26" s="6">
        <v>45933</v>
      </c>
      <c r="C26" s="5" t="s">
        <v>82</v>
      </c>
      <c r="D26" s="5" t="s">
        <v>65</v>
      </c>
      <c r="E26" s="5" t="s">
        <v>66</v>
      </c>
      <c r="F26" s="5">
        <v>22000</v>
      </c>
      <c r="G26" s="5">
        <v>17000</v>
      </c>
      <c r="H26" s="5">
        <v>7</v>
      </c>
      <c r="I26" s="5" t="s">
        <v>124</v>
      </c>
      <c r="J26" s="5" t="s">
        <v>55</v>
      </c>
      <c r="K26" s="5">
        <f t="shared" si="0"/>
        <v>20460</v>
      </c>
      <c r="L26" s="5">
        <f t="shared" si="1"/>
        <v>5000</v>
      </c>
      <c r="M26" s="16">
        <f t="shared" si="2"/>
        <v>0.24437927663734116</v>
      </c>
    </row>
    <row r="27" spans="1:13" x14ac:dyDescent="0.35">
      <c r="A27" s="5">
        <v>1026</v>
      </c>
      <c r="B27" s="6">
        <v>45994</v>
      </c>
      <c r="C27" s="5" t="s">
        <v>72</v>
      </c>
      <c r="D27" s="5" t="s">
        <v>57</v>
      </c>
      <c r="E27" s="5" t="s">
        <v>70</v>
      </c>
      <c r="F27" s="5">
        <v>28000</v>
      </c>
      <c r="G27" s="5">
        <v>24000</v>
      </c>
      <c r="H27" s="5">
        <v>6</v>
      </c>
      <c r="I27" s="5" t="s">
        <v>125</v>
      </c>
      <c r="J27" s="5" t="s">
        <v>60</v>
      </c>
      <c r="K27" s="5">
        <f t="shared" si="0"/>
        <v>26320</v>
      </c>
      <c r="L27" s="5">
        <f t="shared" si="1"/>
        <v>4000</v>
      </c>
      <c r="M27" s="16">
        <f t="shared" si="2"/>
        <v>0.1519756838905775</v>
      </c>
    </row>
    <row r="28" spans="1:13" x14ac:dyDescent="0.35">
      <c r="A28" s="5">
        <v>1027</v>
      </c>
      <c r="B28" s="5" t="s">
        <v>126</v>
      </c>
      <c r="C28" s="5" t="s">
        <v>51</v>
      </c>
      <c r="D28" s="5" t="s">
        <v>52</v>
      </c>
      <c r="E28" s="5" t="s">
        <v>73</v>
      </c>
      <c r="F28" s="5">
        <v>50000</v>
      </c>
      <c r="G28" s="5">
        <v>43000</v>
      </c>
      <c r="H28" s="5">
        <v>10</v>
      </c>
      <c r="I28" s="5" t="s">
        <v>127</v>
      </c>
      <c r="J28" s="5" t="s">
        <v>55</v>
      </c>
      <c r="K28" s="5">
        <f t="shared" si="0"/>
        <v>45000</v>
      </c>
      <c r="L28" s="5">
        <f t="shared" si="1"/>
        <v>7000</v>
      </c>
      <c r="M28" s="16">
        <f t="shared" si="2"/>
        <v>0.15555555555555556</v>
      </c>
    </row>
    <row r="29" spans="1:13" x14ac:dyDescent="0.35">
      <c r="A29" s="5">
        <v>1028</v>
      </c>
      <c r="B29" s="5" t="s">
        <v>128</v>
      </c>
      <c r="C29" s="5" t="s">
        <v>75</v>
      </c>
      <c r="D29" s="5" t="s">
        <v>65</v>
      </c>
      <c r="E29" s="5" t="s">
        <v>83</v>
      </c>
      <c r="F29" s="5">
        <v>27000</v>
      </c>
      <c r="G29" s="5">
        <v>22000</v>
      </c>
      <c r="H29" s="5">
        <v>9</v>
      </c>
      <c r="I29" s="5" t="s">
        <v>129</v>
      </c>
      <c r="J29" s="5" t="s">
        <v>60</v>
      </c>
      <c r="K29" s="5">
        <f t="shared" si="0"/>
        <v>24570</v>
      </c>
      <c r="L29" s="5">
        <f t="shared" si="1"/>
        <v>5000</v>
      </c>
      <c r="M29" s="16">
        <f t="shared" si="2"/>
        <v>0.20350020350020351</v>
      </c>
    </row>
    <row r="30" spans="1:13" x14ac:dyDescent="0.35">
      <c r="A30" s="5">
        <v>1029</v>
      </c>
      <c r="B30" s="5" t="s">
        <v>130</v>
      </c>
      <c r="C30" s="5" t="s">
        <v>69</v>
      </c>
      <c r="D30" s="5" t="s">
        <v>57</v>
      </c>
      <c r="E30" s="5" t="s">
        <v>76</v>
      </c>
      <c r="F30" s="5">
        <v>18000</v>
      </c>
      <c r="G30" s="5">
        <v>15000</v>
      </c>
      <c r="H30" s="5">
        <v>4</v>
      </c>
      <c r="I30" s="5" t="s">
        <v>131</v>
      </c>
      <c r="J30" s="5" t="s">
        <v>68</v>
      </c>
      <c r="K30" s="5">
        <f t="shared" si="0"/>
        <v>17280</v>
      </c>
      <c r="L30" s="5">
        <f t="shared" si="1"/>
        <v>3000</v>
      </c>
      <c r="M30" s="16">
        <f t="shared" si="2"/>
        <v>0.1736111111111111</v>
      </c>
    </row>
    <row r="31" spans="1:13" x14ac:dyDescent="0.35">
      <c r="A31" s="5">
        <v>1030</v>
      </c>
      <c r="B31" s="5" t="s">
        <v>132</v>
      </c>
      <c r="C31" s="5" t="s">
        <v>118</v>
      </c>
      <c r="D31" s="5" t="s">
        <v>52</v>
      </c>
      <c r="E31" s="5" t="s">
        <v>62</v>
      </c>
      <c r="F31" s="5">
        <v>16000</v>
      </c>
      <c r="G31" s="5">
        <v>13000</v>
      </c>
      <c r="H31" s="5">
        <v>5</v>
      </c>
      <c r="I31" s="5" t="s">
        <v>133</v>
      </c>
      <c r="J31" s="5" t="s">
        <v>55</v>
      </c>
      <c r="K31" s="5">
        <f t="shared" si="0"/>
        <v>15200</v>
      </c>
      <c r="L31" s="5">
        <f t="shared" si="1"/>
        <v>3000</v>
      </c>
      <c r="M31" s="16">
        <f t="shared" si="2"/>
        <v>0.19736842105263158</v>
      </c>
    </row>
    <row r="32" spans="1:13" x14ac:dyDescent="0.35">
      <c r="A32" s="5">
        <v>1031</v>
      </c>
      <c r="B32" s="5" t="s">
        <v>134</v>
      </c>
      <c r="C32" s="5" t="s">
        <v>89</v>
      </c>
      <c r="D32" s="5" t="s">
        <v>57</v>
      </c>
      <c r="E32" s="5" t="s">
        <v>94</v>
      </c>
      <c r="F32" s="5">
        <v>48000</v>
      </c>
      <c r="G32" s="5">
        <v>42000</v>
      </c>
      <c r="H32" s="5">
        <v>11</v>
      </c>
      <c r="I32" s="5" t="s">
        <v>135</v>
      </c>
      <c r="J32" s="5" t="s">
        <v>60</v>
      </c>
      <c r="K32" s="5">
        <f t="shared" si="0"/>
        <v>42720</v>
      </c>
      <c r="L32" s="5">
        <f t="shared" si="1"/>
        <v>6000</v>
      </c>
      <c r="M32" s="16">
        <f t="shared" si="2"/>
        <v>0.1404494382022472</v>
      </c>
    </row>
    <row r="33" spans="1:13" x14ac:dyDescent="0.35">
      <c r="A33" s="5">
        <v>1032</v>
      </c>
      <c r="B33" s="6">
        <v>45661</v>
      </c>
      <c r="C33" s="5" t="s">
        <v>93</v>
      </c>
      <c r="D33" s="5" t="s">
        <v>52</v>
      </c>
      <c r="E33" s="5" t="s">
        <v>79</v>
      </c>
      <c r="F33" s="5">
        <v>20000</v>
      </c>
      <c r="G33" s="5">
        <v>16000</v>
      </c>
      <c r="H33" s="5">
        <v>6</v>
      </c>
      <c r="I33" s="5" t="s">
        <v>136</v>
      </c>
      <c r="J33" s="5" t="s">
        <v>55</v>
      </c>
      <c r="K33" s="5">
        <f t="shared" si="0"/>
        <v>18800</v>
      </c>
      <c r="L33" s="5">
        <f t="shared" si="1"/>
        <v>4000</v>
      </c>
      <c r="M33" s="16">
        <f t="shared" si="2"/>
        <v>0.21276595744680851</v>
      </c>
    </row>
    <row r="34" spans="1:13" x14ac:dyDescent="0.35">
      <c r="A34" s="5">
        <v>1033</v>
      </c>
      <c r="B34" s="6">
        <v>45720</v>
      </c>
      <c r="C34" s="5" t="s">
        <v>69</v>
      </c>
      <c r="D34" s="5" t="s">
        <v>65</v>
      </c>
      <c r="E34" s="5" t="s">
        <v>97</v>
      </c>
      <c r="F34" s="5">
        <v>15000</v>
      </c>
      <c r="G34" s="5">
        <v>12000</v>
      </c>
      <c r="H34" s="5">
        <v>3</v>
      </c>
      <c r="I34" s="5" t="s">
        <v>137</v>
      </c>
      <c r="J34" s="5" t="s">
        <v>60</v>
      </c>
      <c r="K34" s="5">
        <f t="shared" si="0"/>
        <v>14550</v>
      </c>
      <c r="L34" s="5">
        <f t="shared" si="1"/>
        <v>3000</v>
      </c>
      <c r="M34" s="16">
        <f t="shared" si="2"/>
        <v>0.20618556701030927</v>
      </c>
    </row>
    <row r="35" spans="1:13" x14ac:dyDescent="0.35">
      <c r="A35" s="5">
        <v>1034</v>
      </c>
      <c r="B35" s="6">
        <v>45812</v>
      </c>
      <c r="C35" s="5" t="s">
        <v>72</v>
      </c>
      <c r="D35" s="5" t="s">
        <v>57</v>
      </c>
      <c r="E35" s="5" t="s">
        <v>108</v>
      </c>
      <c r="F35" s="5">
        <v>75000</v>
      </c>
      <c r="G35" s="5">
        <v>65000</v>
      </c>
      <c r="H35" s="5">
        <v>14</v>
      </c>
      <c r="I35" s="5" t="s">
        <v>138</v>
      </c>
      <c r="J35" s="5" t="s">
        <v>55</v>
      </c>
      <c r="K35" s="5">
        <f t="shared" si="0"/>
        <v>64500</v>
      </c>
      <c r="L35" s="5">
        <f t="shared" si="1"/>
        <v>10000</v>
      </c>
      <c r="M35" s="16">
        <f t="shared" si="2"/>
        <v>0.15503875968992248</v>
      </c>
    </row>
    <row r="36" spans="1:13" x14ac:dyDescent="0.35">
      <c r="A36" s="5">
        <v>1035</v>
      </c>
      <c r="B36" s="6">
        <v>45934</v>
      </c>
      <c r="C36" s="5" t="s">
        <v>64</v>
      </c>
      <c r="D36" s="5" t="s">
        <v>52</v>
      </c>
      <c r="E36" s="5" t="s">
        <v>99</v>
      </c>
      <c r="F36" s="5">
        <v>82000</v>
      </c>
      <c r="G36" s="5">
        <v>72000</v>
      </c>
      <c r="H36" s="5">
        <v>17</v>
      </c>
      <c r="I36" s="5" t="s">
        <v>139</v>
      </c>
      <c r="J36" s="5" t="s">
        <v>68</v>
      </c>
      <c r="K36" s="5">
        <f t="shared" si="0"/>
        <v>68060</v>
      </c>
      <c r="L36" s="5">
        <f t="shared" si="1"/>
        <v>10000</v>
      </c>
      <c r="M36" s="16">
        <f t="shared" si="2"/>
        <v>0.14692918013517484</v>
      </c>
    </row>
    <row r="37" spans="1:13" x14ac:dyDescent="0.35">
      <c r="A37" s="5">
        <v>1036</v>
      </c>
      <c r="B37" s="6">
        <v>45995</v>
      </c>
      <c r="C37" s="5" t="s">
        <v>75</v>
      </c>
      <c r="D37" s="5" t="s">
        <v>57</v>
      </c>
      <c r="E37" s="5" t="s">
        <v>101</v>
      </c>
      <c r="F37" s="5">
        <v>14000</v>
      </c>
      <c r="G37" s="5">
        <v>11000</v>
      </c>
      <c r="H37" s="5">
        <v>5</v>
      </c>
      <c r="I37" s="5" t="s">
        <v>140</v>
      </c>
      <c r="J37" s="5" t="s">
        <v>60</v>
      </c>
      <c r="K37" s="5">
        <f t="shared" si="0"/>
        <v>13300</v>
      </c>
      <c r="L37" s="5">
        <f t="shared" si="1"/>
        <v>3000</v>
      </c>
      <c r="M37" s="16">
        <f t="shared" si="2"/>
        <v>0.22556390977443608</v>
      </c>
    </row>
    <row r="38" spans="1:13" x14ac:dyDescent="0.35">
      <c r="A38" s="5">
        <v>1037</v>
      </c>
      <c r="B38" s="5" t="s">
        <v>141</v>
      </c>
      <c r="C38" s="5" t="s">
        <v>96</v>
      </c>
      <c r="D38" s="5" t="s">
        <v>65</v>
      </c>
      <c r="E38" s="5" t="s">
        <v>105</v>
      </c>
      <c r="F38" s="5">
        <v>6000</v>
      </c>
      <c r="G38" s="5">
        <v>4200</v>
      </c>
      <c r="H38" s="5">
        <v>2</v>
      </c>
      <c r="I38" s="5" t="s">
        <v>142</v>
      </c>
      <c r="J38" s="5" t="s">
        <v>55</v>
      </c>
      <c r="K38" s="5">
        <f t="shared" si="0"/>
        <v>5880</v>
      </c>
      <c r="L38" s="5">
        <f t="shared" si="1"/>
        <v>1800</v>
      </c>
      <c r="M38" s="16">
        <f t="shared" si="2"/>
        <v>0.30612244897959184</v>
      </c>
    </row>
    <row r="39" spans="1:13" x14ac:dyDescent="0.35">
      <c r="A39" s="5">
        <v>1038</v>
      </c>
      <c r="B39" s="5" t="s">
        <v>143</v>
      </c>
      <c r="C39" s="5" t="s">
        <v>118</v>
      </c>
      <c r="D39" s="5" t="s">
        <v>52</v>
      </c>
      <c r="E39" s="5" t="s">
        <v>111</v>
      </c>
      <c r="F39" s="5">
        <v>90000</v>
      </c>
      <c r="G39" s="5">
        <v>78000</v>
      </c>
      <c r="H39" s="5">
        <v>15</v>
      </c>
      <c r="I39" s="5" t="s">
        <v>144</v>
      </c>
      <c r="J39" s="5" t="s">
        <v>55</v>
      </c>
      <c r="K39" s="5">
        <f t="shared" si="0"/>
        <v>76500</v>
      </c>
      <c r="L39" s="5">
        <f t="shared" si="1"/>
        <v>12000</v>
      </c>
      <c r="M39" s="16">
        <f t="shared" si="2"/>
        <v>0.15686274509803921</v>
      </c>
    </row>
    <row r="40" spans="1:13" x14ac:dyDescent="0.35">
      <c r="A40" s="5">
        <v>1039</v>
      </c>
      <c r="B40" s="5" t="s">
        <v>145</v>
      </c>
      <c r="C40" s="5" t="s">
        <v>89</v>
      </c>
      <c r="D40" s="5" t="s">
        <v>57</v>
      </c>
      <c r="E40" s="5" t="s">
        <v>114</v>
      </c>
      <c r="F40" s="5">
        <v>15000</v>
      </c>
      <c r="G40" s="5">
        <v>12000</v>
      </c>
      <c r="H40" s="5">
        <v>6</v>
      </c>
      <c r="I40" s="5" t="s">
        <v>146</v>
      </c>
      <c r="J40" s="5" t="s">
        <v>60</v>
      </c>
      <c r="K40" s="5">
        <f t="shared" si="0"/>
        <v>14100</v>
      </c>
      <c r="L40" s="5">
        <f t="shared" si="1"/>
        <v>3000</v>
      </c>
      <c r="M40" s="16">
        <f t="shared" si="2"/>
        <v>0.21276595744680851</v>
      </c>
    </row>
    <row r="41" spans="1:13" x14ac:dyDescent="0.35">
      <c r="A41" s="1">
        <v>1040</v>
      </c>
      <c r="B41" s="3" t="s">
        <v>147</v>
      </c>
      <c r="C41" s="3" t="s">
        <v>93</v>
      </c>
      <c r="D41" s="3" t="s">
        <v>52</v>
      </c>
      <c r="E41" s="3" t="s">
        <v>90</v>
      </c>
      <c r="F41" s="3">
        <v>25000</v>
      </c>
      <c r="G41" s="3">
        <v>20000</v>
      </c>
      <c r="H41" s="3">
        <v>8</v>
      </c>
      <c r="I41" s="3" t="s">
        <v>148</v>
      </c>
      <c r="J41" s="4" t="s">
        <v>68</v>
      </c>
      <c r="K41" s="11">
        <f t="shared" si="0"/>
        <v>23000</v>
      </c>
      <c r="L41" s="11">
        <f t="shared" si="1"/>
        <v>5000</v>
      </c>
      <c r="M41" s="17">
        <f t="shared" si="2"/>
        <v>0.21739130434782608</v>
      </c>
    </row>
    <row r="42" spans="1:13" x14ac:dyDescent="0.35">
      <c r="M42" s="1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zoomScaleNormal="100" workbookViewId="0">
      <selection activeCell="C11" sqref="C11"/>
    </sheetView>
  </sheetViews>
  <sheetFormatPr defaultRowHeight="14.5" x14ac:dyDescent="0.35"/>
  <cols>
    <col min="1" max="1" width="11.36328125" customWidth="1"/>
    <col min="2" max="2" width="12.453125" customWidth="1"/>
    <col min="3" max="3" width="8.7265625" customWidth="1"/>
  </cols>
  <sheetData>
    <row r="1" spans="1:5" ht="23.5" x14ac:dyDescent="0.55000000000000004">
      <c r="A1" s="32" t="s">
        <v>160</v>
      </c>
      <c r="B1" s="32"/>
      <c r="C1" s="32"/>
      <c r="D1" s="33"/>
      <c r="E1" s="33"/>
    </row>
    <row r="2" spans="1:5" ht="15.5" x14ac:dyDescent="0.35">
      <c r="A2" s="19" t="s">
        <v>149</v>
      </c>
      <c r="B2" s="19">
        <f>SUM(Cleaned_Data!K:K)</f>
        <v>1163790</v>
      </c>
    </row>
    <row r="3" spans="1:5" x14ac:dyDescent="0.35">
      <c r="A3" s="20" t="s">
        <v>153</v>
      </c>
      <c r="B3" s="20">
        <f>SUM(Cleaned_Data!L:L)</f>
        <v>195800</v>
      </c>
    </row>
    <row r="4" spans="1:5" x14ac:dyDescent="0.35">
      <c r="A4" s="21" t="s">
        <v>154</v>
      </c>
      <c r="B4" s="22">
        <f>COUNTA(Cleaned_Data!A:A)-1</f>
        <v>40</v>
      </c>
    </row>
    <row r="5" spans="1:5" x14ac:dyDescent="0.35">
      <c r="A5" s="21" t="s">
        <v>155</v>
      </c>
      <c r="B5" s="16">
        <f>B3/B2</f>
        <v>0.16824341161206061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Pivot_Region</vt:lpstr>
      <vt:lpstr>Pivot_Category</vt:lpstr>
      <vt:lpstr>Cleaned_Data</vt:lpstr>
      <vt:lpstr>Dashboard_Data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2026-03-02T20:15:29Z</dcterms:modified>
</cp:coreProperties>
</file>